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de4bf4107253254/OPAUSTRO DASHBOARD/TI OPAUSTRO/APP OPAUSTRO/APP OPAUSTRO/Gerencia/"/>
    </mc:Choice>
  </mc:AlternateContent>
  <xr:revisionPtr revIDLastSave="2" documentId="8_{7BBA56BA-D748-410F-A4E1-2F00F61C55E0}" xr6:coauthVersionLast="47" xr6:coauthVersionMax="47" xr10:uidLastSave="{9673F76C-5D98-4F4D-A212-2F8D20F1B1FA}"/>
  <bookViews>
    <workbookView xWindow="-108" yWindow="-108" windowWidth="23256" windowHeight="13896" xr2:uid="{00000000-000D-0000-FFFF-FFFF00000000}"/>
  </bookViews>
  <sheets>
    <sheet name="balance" sheetId="5" r:id="rId1"/>
    <sheet name="UTILIDADES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6" l="1"/>
  <c r="E11" i="6" s="1"/>
  <c r="E12" i="6" s="1"/>
  <c r="E13" i="6" s="1"/>
</calcChain>
</file>

<file path=xl/sharedStrings.xml><?xml version="1.0" encoding="utf-8"?>
<sst xmlns="http://schemas.openxmlformats.org/spreadsheetml/2006/main" count="376" uniqueCount="236">
  <si>
    <t>Descripcion</t>
  </si>
  <si>
    <t>Exp</t>
  </si>
  <si>
    <t>Saldo</t>
  </si>
  <si>
    <t>AÑO</t>
  </si>
  <si>
    <t>Acumulado</t>
  </si>
  <si>
    <t>GENERADA</t>
  </si>
  <si>
    <t>REPARTIDA</t>
  </si>
  <si>
    <t>REINVERTIDA</t>
  </si>
  <si>
    <t>ACUMULADA</t>
  </si>
  <si>
    <t>ACTIVO</t>
  </si>
  <si>
    <t>3,203,548.21</t>
  </si>
  <si>
    <t>PASIVO</t>
  </si>
  <si>
    <t>1,878,466.68</t>
  </si>
  <si>
    <t>....ACTIVO CORRIENTE</t>
  </si>
  <si>
    <t>3,084,985.98</t>
  </si>
  <si>
    <t>....PASIVO CORRIENTE</t>
  </si>
  <si>
    <t>1,843,067.50</t>
  </si>
  <si>
    <t>........EFECTIVO Y EQUIVALENTES AL EFECTIVO</t>
  </si>
  <si>
    <t>........CUENTAS Y DOCUMENTOS POR PAGAR</t>
  </si>
  <si>
    <t>1,175,985.79</t>
  </si>
  <si>
    <t>........................1010101001 - Caja General</t>
  </si>
  <si>
    <t>............LOCALES</t>
  </si>
  <si>
    <t>........................1010101002 - Caja Chica</t>
  </si>
  <si>
    <t>........................2010301001 - Proveedores de Inventario</t>
  </si>
  <si>
    <t>1,107,061.69</t>
  </si>
  <si>
    <t>........ACTIVOS FINANCIEROS</t>
  </si>
  <si>
    <t>1,097,662.79</t>
  </si>
  <si>
    <t>........................2010301002 - Otros Proveedores Locales</t>
  </si>
  <si>
    <t>68,904.22</t>
  </si>
  <si>
    <t>............ACTIVOS FINANCIEROS A VALOR RAZONABLE CON CAMBIOS</t>
  </si>
  <si>
    <t>380,142.83</t>
  </si>
  <si>
    <t>........................2010301003 - CUSTODIO CAJA CHICA</t>
  </si>
  <si>
    <t>-0.02</t>
  </si>
  <si>
    <t>........................1010201001 - BANCO PICHINCHA</t>
  </si>
  <si>
    <t>98,421.36</t>
  </si>
  <si>
    <t>........................2010301004 - Proveedores de Otras lineas</t>
  </si>
  <si>
    <t>........................1010201003 - BANCO GUAYAQUIL</t>
  </si>
  <si>
    <t>9,493.48</t>
  </si>
  <si>
    <t>........................2010301008 - Anticipo Clientes</t>
  </si>
  <si>
    <t>........................1010201004 - BANCO PRODUBANCO</t>
  </si>
  <si>
    <t>191,053.96</t>
  </si>
  <si>
    <t>........OTRAS OBLIGACIONES CORRIENTES</t>
  </si>
  <si>
    <t>215,177.25</t>
  </si>
  <si>
    <t>........................1010201005 - BANCO DEL AUSTRO</t>
  </si>
  <si>
    <t>7,743.56</t>
  </si>
  <si>
    <t>............CON LA ADMINISTRACIÓN TRIBUTARIA</t>
  </si>
  <si>
    <t>64,496.52</t>
  </si>
  <si>
    <t>........................1010201006 - COOPERATIVA JEP</t>
  </si>
  <si>
    <t>2,382.89</t>
  </si>
  <si>
    <t>........................2010701001 - Iva Cobrado por Pagar mensual</t>
  </si>
  <si>
    <t>........................1010201009 - CTA GUAYAQUIL INVERSIONES</t>
  </si>
  <si>
    <t>71,047.58</t>
  </si>
  <si>
    <t>........................2010701002 - Obligaciones por Pagar por Reteción IVA 30%</t>
  </si>
  <si>
    <t>............ACTIVOS FINANCIEROS MANTENIDOS HASTA EL VENCIMIENT</t>
  </si>
  <si>
    <t>157,379.05</t>
  </si>
  <si>
    <t>........................2010701003 - Obligaciones por Pagar por Retención IVA 70%</t>
  </si>
  <si>
    <t>........................1010203001 - CHEQUES POSTFECHADOS</t>
  </si>
  <si>
    <t>........................2010701004 - Obligaciones por Pagar por Retenciòn IVA 100%</t>
  </si>
  <si>
    <t>............DOCUMENTOS Y CUENTAS POR COBRAR CLIENTES NO RELACI</t>
  </si>
  <si>
    <t>575,079.20</t>
  </si>
  <si>
    <t>........................2010701005 - Obligaciones por Pagar por Retenciòn Renta 10%</t>
  </si>
  <si>
    <t>........................1010205001 - Clientes Nacionales</t>
  </si>
  <si>
    <t>557,281.09</t>
  </si>
  <si>
    <t>........................2010701007 - Obligaciones por Pagar por Reteciòn Renta 2%</t>
  </si>
  <si>
    <t>........................1010205004 - Otras cuentas por cobrar clientes no relacionados</t>
  </si>
  <si>
    <t>35.93</t>
  </si>
  <si>
    <t>........................2010701008 - Obligaciones por Pagar por Reteciòn Renta 1% -1.75%</t>
  </si>
  <si>
    <t>........................1010205006 - TRANSITORIA PRORRATEO</t>
  </si>
  <si>
    <t>-0.55</t>
  </si>
  <si>
    <t>........................2010701010 - Iva por Pagar</t>
  </si>
  <si>
    <t>58,963.74</t>
  </si>
  <si>
    <t>........................1010205007 - Cuentas por cobrar de difìcil cobro</t>
  </si>
  <si>
    <t>17,762.73</t>
  </si>
  <si>
    <t>........................2010701011 - Retención en relación de dependencia</t>
  </si>
  <si>
    <t>............(-) PROVISIÓN CUENTAS INCOBRABLES Y DETERIORO</t>
  </si>
  <si>
    <t>-14,938.29</t>
  </si>
  <si>
    <t>........................2010701012 - Obligaciones por pagar CE Bienes 10%</t>
  </si>
  <si>
    <t>........................1010209001 - Provision por cuentas incobrables</t>
  </si>
  <si>
    <t>........................2010701013 - Obligaciones por pagar CE Ser20%</t>
  </si>
  <si>
    <t>........INVENTARIOS</t>
  </si>
  <si>
    <t>1,839,526.32</t>
  </si>
  <si>
    <t>........................2010701014 - Obligaciones por pagar retencion renta 0%</t>
  </si>
  <si>
    <t>0.2</t>
  </si>
  <si>
    <t>............INVENTARIOS DE PROD. TERM. - COMPRADO A DE TERCERO</t>
  </si>
  <si>
    <t>1,832,877.63</t>
  </si>
  <si>
    <t>........................2010701015 - Obligaciones por Pagar por Reteciòn Renta 3%</t>
  </si>
  <si>
    <t>........................1010306001 - Inventario de Producto Unilever 12%</t>
  </si>
  <si>
    <t>1,305,400.19</t>
  </si>
  <si>
    <t>........................2010701016 - Obligaciones por Pagar por Reteciòn Renta 10%</t>
  </si>
  <si>
    <t>........................1010306002 - Inventario de Producto Unilever 0%</t>
  </si>
  <si>
    <t>70,629.70</t>
  </si>
  <si>
    <t>........................2010701019 - Retenciones Renta por pagar</t>
  </si>
  <si>
    <t>5,532.58</t>
  </si>
  <si>
    <t>........................1010306003 - Inventario de Otras lineas tarifa cero</t>
  </si>
  <si>
    <t>399,964.96</t>
  </si>
  <si>
    <t>........................2010702002 - Obligaciones por pagar servicios 2.75%</t>
  </si>
  <si>
    <t>........................1010306004 - Inventario de otras lineas tarifa doce</t>
  </si>
  <si>
    <t>56,882.78</t>
  </si>
  <si>
    <t>............CON EL IESS</t>
  </si>
  <si>
    <t>26,019.15</t>
  </si>
  <si>
    <t>............MERCADERÍAS EN TRÁNSITO</t>
  </si>
  <si>
    <t>6,648.69</t>
  </si>
  <si>
    <t>........................2010703001 - Aportes al IESS por Pagar</t>
  </si>
  <si>
    <t>25,147.85</t>
  </si>
  <si>
    <t>........................1010307001 - INVENTARIO EN TRANSITO - NC.UNILEVER</t>
  </si>
  <si>
    <t>........................2010703002 - Fondos de Reseva por Pagar</t>
  </si>
  <si>
    <t>843.59</t>
  </si>
  <si>
    <t>........SERVICIOS Y OTROS PAGOS ANTICIPADOS</t>
  </si>
  <si>
    <t>12,431.50</t>
  </si>
  <si>
    <t>........................2010703005 - Extensión Salud Cónyuges por Pagar IESS</t>
  </si>
  <si>
    <t>27.71</t>
  </si>
  <si>
    <t>............SEGUROS PAGADOS POR ANTICIPADO</t>
  </si>
  <si>
    <t>11,034.54</t>
  </si>
  <si>
    <t>............POR BENEFICIOS DE LEY A EMPLEADOS</t>
  </si>
  <si>
    <t>124,661.58</t>
  </si>
  <si>
    <t>........................1010401001 - Seguros Anticipados</t>
  </si>
  <si>
    <t>5,354.54</t>
  </si>
  <si>
    <t>........................2010703003 - Préstamos Quirografarios por Pagar</t>
  </si>
  <si>
    <t>3,819.73</t>
  </si>
  <si>
    <t>........................1010401002 - Arriendos en garantìa</t>
  </si>
  <si>
    <t>5,680.00</t>
  </si>
  <si>
    <t>........................2010703004 - Préstamos Hipotecarios por Pagar</t>
  </si>
  <si>
    <t>1,216.82</t>
  </si>
  <si>
    <t>............ANTICIPOS A PROVEEDORES</t>
  </si>
  <si>
    <t>296.96</t>
  </si>
  <si>
    <t>........................2010704001 - Decimo Tercero por Pagar</t>
  </si>
  <si>
    <t>74,755.93</t>
  </si>
  <si>
    <t>........................1010403001 - Anticipos a Proveedores</t>
  </si>
  <si>
    <t>........................2010704002 - Decimo Cuarto por Pagar</t>
  </si>
  <si>
    <t>4,888.68</t>
  </si>
  <si>
    <t>............OTROS ANTICIPOS ENTREGADOS</t>
  </si>
  <si>
    <t>1,100.00</t>
  </si>
  <si>
    <t>........................2010704003 - Vacaciones por pagar</t>
  </si>
  <si>
    <t>33,840.02</t>
  </si>
  <si>
    <t>........................1010404035 - Anticipo Sueldo Empleados</t>
  </si>
  <si>
    <t>........................2010704004 - Multas Empleados por Pagar</t>
  </si>
  <si>
    <t>4,529.15</t>
  </si>
  <si>
    <t>........ACTIVOS POR IMPUESTOS CORRIENTES</t>
  </si>
  <si>
    <t>135,015.37</t>
  </si>
  <si>
    <t>........................2010704005 - Sueldos por Pagar</t>
  </si>
  <si>
    <t>180.45</t>
  </si>
  <si>
    <t>............CRÉDITO TRIBUTARIO A FAVOR EMPRESA (IVA)</t>
  </si>
  <si>
    <t>0.01</t>
  </si>
  <si>
    <t>........................2010704006 - Descuento convenio empleados por pagar</t>
  </si>
  <si>
    <t>0.05</t>
  </si>
  <si>
    <t>........................1010501001 - IVA Pagado Mensual</t>
  </si>
  <si>
    <t>........................2010704007 - Retenciones judiciales por pagar</t>
  </si>
  <si>
    <t>1,277.89</t>
  </si>
  <si>
    <t>........................1010501004 - Retencion CEspe 10%</t>
  </si>
  <si>
    <t>........................2010704008 - Nomina por pagar</t>
  </si>
  <si>
    <t>-552.82</t>
  </si>
  <si>
    <t>........................1010501009 - Retenciones Iva 100%</t>
  </si>
  <si>
    <t>........................2010704009 - Finiquitos por pagar</t>
  </si>
  <si>
    <t>705.68</t>
  </si>
  <si>
    <t>............CREDITO TRIBUTARIO A FAVOR EMPRESA (I.R)</t>
  </si>
  <si>
    <t>135,015.36</t>
  </si>
  <si>
    <t>............PARTICIPACIÓN TRABAJADORES POR PAGAR DEL EJERCICIO</t>
  </si>
  <si>
    <t>........................1010502001 - Credito Tributario Impuesto a la Renta</t>
  </si>
  <si>
    <t>40,618.15</t>
  </si>
  <si>
    <t>........................2010705001 - Participacion Trabajadores por Pagar</t>
  </si>
  <si>
    <t>........................1010502002 - Retenciones en la fuente impuesto a la Renta1%</t>
  </si>
  <si>
    <t>94,396.21</t>
  </si>
  <si>
    <t>............DIVIDENDOS POR PAGAR</t>
  </si>
  <si>
    <t>........................1010502003 - Retenciones en la fuente impuesto a la renta 2%</t>
  </si>
  <si>
    <t>........................2010706001 - Dividendos por pagar</t>
  </si>
  <si>
    <t>....ACTIVO NO CORRIENTE</t>
  </si>
  <si>
    <t>118,562.23</t>
  </si>
  <si>
    <t>........OTROS PASIVOS CORRIENTES</t>
  </si>
  <si>
    <t>451,904.46</t>
  </si>
  <si>
    <t>........PROPIEDADES, PLANTA Y EQUIPO</t>
  </si>
  <si>
    <t>100,800.04</t>
  </si>
  <si>
    <t>........................2113100001 - Cuentas por pagar Socios Corriente</t>
  </si>
  <si>
    <t>............MUEBLES Y EN SERES</t>
  </si>
  <si>
    <t>14,039.60</t>
  </si>
  <si>
    <t>....PASIVO NO CORRIENTE</t>
  </si>
  <si>
    <t>35,399.18</t>
  </si>
  <si>
    <t>........................1020105001 - Muebles y Enseres</t>
  </si>
  <si>
    <t>........PROVISIONES POR BENEFICIOS A EMPLEADOS</t>
  </si>
  <si>
    <t>32,414.93</t>
  </si>
  <si>
    <t>............MAQUINARIA Y EQUIPO</t>
  </si>
  <si>
    <t>9,559.66</t>
  </si>
  <si>
    <t>............JUBILACION PATRONAL</t>
  </si>
  <si>
    <t>........................1020106001 - Equipo de Oficina y Maquinaria</t>
  </si>
  <si>
    <t>........................2020701001 - Jubilacion Patronal</t>
  </si>
  <si>
    <t>............EQUIPO DE COMPUTACIÓN</t>
  </si>
  <si>
    <t>29,505.29</t>
  </si>
  <si>
    <t>........OTRAS PROVISIONES</t>
  </si>
  <si>
    <t>2,984.25</t>
  </si>
  <si>
    <t>........................1020108001 - Equipo de Computacion y Software</t>
  </si>
  <si>
    <t>........................2020801001 - Provisiones de desahucio</t>
  </si>
  <si>
    <t>............VEHÍCULOS, EQUIPOS DE TRANSPORTE Y CAMINERO MÓVIL</t>
  </si>
  <si>
    <t>198,354.60</t>
  </si>
  <si>
    <t>........................1020109001 - Equipo de Transporte/Vehículos</t>
  </si>
  <si>
    <t>PATRIMONIO NETO</t>
  </si>
  <si>
    <t>1,325,081.53</t>
  </si>
  <si>
    <t>............(-) DEPRECIACIÓN ACUMULADA PROPIEDADES, PLANTA Y E</t>
  </si>
  <si>
    <t>-150,659.11</t>
  </si>
  <si>
    <t>....CAPITAL</t>
  </si>
  <si>
    <t>922,930.00</t>
  </si>
  <si>
    <t>........................1020112002 - Muebles y Enseres</t>
  </si>
  <si>
    <t>-8,115.89</t>
  </si>
  <si>
    <t>........ CAPITAL SUSCRITO o ASIGNADO</t>
  </si>
  <si>
    <t>........................1020112003 - Maquinaria y Equipos</t>
  </si>
  <si>
    <t>-4,484.81</t>
  </si>
  <si>
    <t>........................3010101004 - UP HOLDING UPHOLDING CIA LTDA</t>
  </si>
  <si>
    <t>646,051.00</t>
  </si>
  <si>
    <t>........................1020112004 - Equipo de Computacion y Software</t>
  </si>
  <si>
    <t>-23,077.97</t>
  </si>
  <si>
    <t>........................3010101006 - NEXUS CP HOLDING SAS</t>
  </si>
  <si>
    <t>276,879.00</t>
  </si>
  <si>
    <t>........................1020112005 - Equipo de Transporte/Vehículos</t>
  </si>
  <si>
    <t>-114,980.44</t>
  </si>
  <si>
    <t>....RESERVAS</t>
  </si>
  <si>
    <t>6,813.33</t>
  </si>
  <si>
    <t>........ACTIVOS POR IMPUESTOS DIFERIDOS</t>
  </si>
  <si>
    <t>10,843.17</t>
  </si>
  <si>
    <t>........RESERVA LEGAL</t>
  </si>
  <si>
    <t>........................1020501001 - Activos Impuestos Diferidos Jubilación Patronal</t>
  </si>
  <si>
    <t>6,248.23</t>
  </si>
  <si>
    <t>........................3040101001 - Reserva Legal</t>
  </si>
  <si>
    <t>........................1020501002 - Activo por impuesto diferido desahucio</t>
  </si>
  <si>
    <t>4,594.94</t>
  </si>
  <si>
    <t>....RESULTADOS ACUMULADOS</t>
  </si>
  <si>
    <t>95,000.00</t>
  </si>
  <si>
    <t>........OTROS ACTIVOS NO CORRIENTES</t>
  </si>
  <si>
    <t>6,919.02</t>
  </si>
  <si>
    <t>........GANANCIAS ACUMULADAS</t>
  </si>
  <si>
    <t>............OTROS ACTIVOS NO CORRIENTES</t>
  </si>
  <si>
    <t>........................3060101001 - Utilidades Acumuladas de Ejercicios Anteriores</t>
  </si>
  <si>
    <t>........................1020706004 - Impuestos por cobrar</t>
  </si>
  <si>
    <t>....RESULTADOS DEL EJERCICIO</t>
  </si>
  <si>
    <t>........GANANCIA NETA DEL PERIODO</t>
  </si>
  <si>
    <t>300,338.20</t>
  </si>
  <si>
    <t>........(-) PÉRDIDA NETA DEL PERIODO</t>
  </si>
  <si>
    <t>Activo - Pasivo + Capital</t>
  </si>
  <si>
    <t>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</si>
</sst>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9">
    <font>
      <sz val="10"/>
      <color rgb="FF000000"/>
      <name val="Arial"/>
      <scheme val="minor"/>
    </font>
    <font>
      <sz val="11"/>
      <color rgb="FF000000"/>
      <name val="&quot;Aptos Narrow&quot;"/>
    </font>
    <font>
      <sz val="10"/>
      <color rgb="FF0A0A0A"/>
      <name val="Anthropic Mono"/>
    </font>
    <font>
      <sz val="10"/>
      <color rgb="FF0A0A0A"/>
      <name val="Arial"/>
      <family val="2"/>
    </font>
    <font>
      <sz val="10"/>
      <color theme="1"/>
      <name val="Arial"/>
      <family val="2"/>
    </font>
    <font>
      <b/>
      <sz val="10"/>
      <color rgb="FF69686D"/>
      <name val="&quot;Aptos Narrow&quot;"/>
    </font>
    <font>
      <sz val="10"/>
      <name val="Arial"/>
      <family val="2"/>
    </font>
    <font>
      <sz val="8"/>
      <color rgb="FF69686D"/>
      <name val="&quot;Aptos Narrow&quot;"/>
    </font>
    <font>
      <sz val="10"/>
      <color rgb="FF69686D"/>
      <name val="&quot;Aptos Narrow&quot;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2" fillId="0" borderId="0" xfId="0" applyFont="1" applyAlignment="1">
      <alignment vertical="top" wrapText="1"/>
    </xf>
    <xf numFmtId="0" fontId="1" fillId="0" borderId="3" xfId="0" applyFont="1" applyBorder="1" applyAlignment="1">
      <alignment horizontal="right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right"/>
    </xf>
    <xf numFmtId="0" fontId="5" fillId="0" borderId="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6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6" xfId="0" applyFont="1" applyBorder="1" applyAlignment="1">
      <alignment horizontal="right"/>
    </xf>
    <xf numFmtId="164" fontId="8" fillId="0" borderId="0" xfId="0" applyNumberFormat="1" applyFont="1" applyAlignment="1">
      <alignment horizontal="right"/>
    </xf>
    <xf numFmtId="164" fontId="8" fillId="0" borderId="6" xfId="0" applyNumberFormat="1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6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1" fillId="0" borderId="7" xfId="0" applyFont="1" applyBorder="1" applyAlignment="1">
      <alignment vertical="top"/>
    </xf>
    <xf numFmtId="0" fontId="6" fillId="0" borderId="8" xfId="0" applyFont="1" applyBorder="1"/>
    <xf numFmtId="0" fontId="6" fillId="0" borderId="9" xfId="0" applyFont="1" applyBorder="1"/>
    <xf numFmtId="0" fontId="1" fillId="0" borderId="4" xfId="0" applyFont="1" applyBorder="1"/>
    <xf numFmtId="0" fontId="6" fillId="0" borderId="4" xfId="0" applyFont="1" applyBorder="1"/>
    <xf numFmtId="0" fontId="7" fillId="0" borderId="5" xfId="0" applyFont="1" applyBorder="1" applyAlignment="1">
      <alignment horizontal="left"/>
    </xf>
    <xf numFmtId="0" fontId="0" fillId="0" borderId="0" xfId="0"/>
    <xf numFmtId="0" fontId="5" fillId="0" borderId="7" xfId="0" applyFont="1" applyBorder="1" applyAlignment="1">
      <alignment horizontal="left"/>
    </xf>
    <xf numFmtId="0" fontId="1" fillId="0" borderId="5" xfId="0" applyFont="1" applyBorder="1" applyAlignment="1">
      <alignment vertical="top"/>
    </xf>
    <xf numFmtId="0" fontId="6" fillId="0" borderId="6" xfId="0" applyFont="1" applyBorder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73"/>
  <sheetViews>
    <sheetView tabSelected="1" topLeftCell="B1" workbookViewId="0">
      <selection activeCell="L2" sqref="L2"/>
    </sheetView>
  </sheetViews>
  <sheetFormatPr baseColWidth="10" defaultColWidth="12.5546875" defaultRowHeight="15.75" customHeight="1"/>
  <cols>
    <col min="1" max="1" width="58.6640625" customWidth="1"/>
    <col min="6" max="6" width="57.44140625" customWidth="1"/>
  </cols>
  <sheetData>
    <row r="1" spans="1:12">
      <c r="A1" s="1" t="s">
        <v>0</v>
      </c>
      <c r="B1" s="2" t="s">
        <v>1</v>
      </c>
      <c r="C1" s="3" t="s">
        <v>2</v>
      </c>
      <c r="D1" s="5" t="s">
        <v>4</v>
      </c>
      <c r="E1" s="24"/>
      <c r="F1" s="2" t="s">
        <v>0</v>
      </c>
      <c r="G1" s="2" t="s">
        <v>1</v>
      </c>
      <c r="H1" s="3" t="s">
        <v>2</v>
      </c>
      <c r="I1" s="5" t="s">
        <v>4</v>
      </c>
      <c r="K1" t="s">
        <v>235</v>
      </c>
      <c r="L1" s="31">
        <v>46235</v>
      </c>
    </row>
    <row r="2" spans="1:12">
      <c r="A2" s="8" t="s">
        <v>9</v>
      </c>
      <c r="B2" s="9">
        <v>1</v>
      </c>
      <c r="C2" s="10" t="s">
        <v>10</v>
      </c>
      <c r="D2" s="11" t="s">
        <v>10</v>
      </c>
      <c r="E2" s="25"/>
      <c r="F2" s="9" t="s">
        <v>11</v>
      </c>
      <c r="G2" s="9">
        <v>2</v>
      </c>
      <c r="H2" s="10" t="s">
        <v>12</v>
      </c>
      <c r="I2" s="11" t="s">
        <v>12</v>
      </c>
    </row>
    <row r="3" spans="1:12">
      <c r="A3" s="8" t="s">
        <v>13</v>
      </c>
      <c r="B3" s="9">
        <v>101</v>
      </c>
      <c r="C3" s="10" t="s">
        <v>14</v>
      </c>
      <c r="D3" s="11" t="s">
        <v>14</v>
      </c>
      <c r="E3" s="25"/>
      <c r="F3" s="9" t="s">
        <v>15</v>
      </c>
      <c r="G3" s="9">
        <v>201</v>
      </c>
      <c r="H3" s="10" t="s">
        <v>16</v>
      </c>
      <c r="I3" s="11" t="s">
        <v>16</v>
      </c>
    </row>
    <row r="4" spans="1:12">
      <c r="A4" s="8" t="s">
        <v>17</v>
      </c>
      <c r="B4" s="9">
        <v>10101</v>
      </c>
      <c r="C4" s="10">
        <v>350</v>
      </c>
      <c r="D4" s="11">
        <v>350</v>
      </c>
      <c r="E4" s="25"/>
      <c r="F4" s="9" t="s">
        <v>18</v>
      </c>
      <c r="G4" s="9">
        <v>20103</v>
      </c>
      <c r="H4" s="10" t="s">
        <v>19</v>
      </c>
      <c r="I4" s="11" t="s">
        <v>19</v>
      </c>
    </row>
    <row r="5" spans="1:12">
      <c r="A5" s="26" t="s">
        <v>20</v>
      </c>
      <c r="B5" s="27"/>
      <c r="C5" s="12">
        <v>0</v>
      </c>
      <c r="D5" s="13">
        <v>0</v>
      </c>
      <c r="E5" s="25"/>
      <c r="F5" s="9" t="s">
        <v>21</v>
      </c>
      <c r="G5" s="9">
        <v>2010301</v>
      </c>
      <c r="H5" s="10" t="s">
        <v>19</v>
      </c>
      <c r="I5" s="11" t="s">
        <v>19</v>
      </c>
    </row>
    <row r="6" spans="1:12">
      <c r="A6" s="26" t="s">
        <v>22</v>
      </c>
      <c r="B6" s="27"/>
      <c r="C6" s="12">
        <v>350</v>
      </c>
      <c r="D6" s="13">
        <v>350</v>
      </c>
      <c r="E6" s="25"/>
      <c r="F6" s="26" t="s">
        <v>23</v>
      </c>
      <c r="G6" s="27"/>
      <c r="H6" s="12" t="s">
        <v>24</v>
      </c>
      <c r="I6" s="13" t="s">
        <v>24</v>
      </c>
    </row>
    <row r="7" spans="1:12">
      <c r="A7" s="8" t="s">
        <v>25</v>
      </c>
      <c r="B7" s="9">
        <v>10102</v>
      </c>
      <c r="C7" s="10" t="s">
        <v>26</v>
      </c>
      <c r="D7" s="11" t="s">
        <v>26</v>
      </c>
      <c r="E7" s="25"/>
      <c r="F7" s="26" t="s">
        <v>27</v>
      </c>
      <c r="G7" s="27"/>
      <c r="H7" s="12" t="s">
        <v>28</v>
      </c>
      <c r="I7" s="13" t="s">
        <v>28</v>
      </c>
    </row>
    <row r="8" spans="1:12">
      <c r="A8" s="8" t="s">
        <v>29</v>
      </c>
      <c r="B8" s="9">
        <v>1010201</v>
      </c>
      <c r="C8" s="10" t="s">
        <v>30</v>
      </c>
      <c r="D8" s="11" t="s">
        <v>30</v>
      </c>
      <c r="E8" s="25"/>
      <c r="F8" s="26" t="s">
        <v>31</v>
      </c>
      <c r="G8" s="27"/>
      <c r="H8" s="12" t="s">
        <v>32</v>
      </c>
      <c r="I8" s="13" t="s">
        <v>32</v>
      </c>
    </row>
    <row r="9" spans="1:12">
      <c r="A9" s="26" t="s">
        <v>33</v>
      </c>
      <c r="B9" s="27"/>
      <c r="C9" s="12" t="s">
        <v>34</v>
      </c>
      <c r="D9" s="13" t="s">
        <v>34</v>
      </c>
      <c r="E9" s="25"/>
      <c r="F9" s="26" t="s">
        <v>35</v>
      </c>
      <c r="G9" s="27"/>
      <c r="H9" s="12">
        <v>0</v>
      </c>
      <c r="I9" s="13">
        <v>0</v>
      </c>
    </row>
    <row r="10" spans="1:12">
      <c r="A10" s="26" t="s">
        <v>36</v>
      </c>
      <c r="B10" s="27"/>
      <c r="C10" s="12" t="s">
        <v>37</v>
      </c>
      <c r="D10" s="13" t="s">
        <v>37</v>
      </c>
      <c r="E10" s="25"/>
      <c r="F10" s="26" t="s">
        <v>38</v>
      </c>
      <c r="G10" s="27"/>
      <c r="H10" s="14">
        <v>46284</v>
      </c>
      <c r="I10" s="15">
        <v>46284</v>
      </c>
    </row>
    <row r="11" spans="1:12">
      <c r="A11" s="26" t="s">
        <v>39</v>
      </c>
      <c r="B11" s="27"/>
      <c r="C11" s="12" t="s">
        <v>40</v>
      </c>
      <c r="D11" s="13" t="s">
        <v>40</v>
      </c>
      <c r="E11" s="25"/>
      <c r="F11" s="9" t="s">
        <v>41</v>
      </c>
      <c r="G11" s="9">
        <v>20107</v>
      </c>
      <c r="H11" s="10" t="s">
        <v>42</v>
      </c>
      <c r="I11" s="11" t="s">
        <v>42</v>
      </c>
    </row>
    <row r="12" spans="1:12">
      <c r="A12" s="26" t="s">
        <v>43</v>
      </c>
      <c r="B12" s="27"/>
      <c r="C12" s="12" t="s">
        <v>44</v>
      </c>
      <c r="D12" s="13" t="s">
        <v>44</v>
      </c>
      <c r="E12" s="25"/>
      <c r="F12" s="9" t="s">
        <v>45</v>
      </c>
      <c r="G12" s="9">
        <v>2010701</v>
      </c>
      <c r="H12" s="10" t="s">
        <v>46</v>
      </c>
      <c r="I12" s="11" t="s">
        <v>46</v>
      </c>
    </row>
    <row r="13" spans="1:12">
      <c r="A13" s="26" t="s">
        <v>47</v>
      </c>
      <c r="B13" s="27"/>
      <c r="C13" s="12" t="s">
        <v>48</v>
      </c>
      <c r="D13" s="13" t="s">
        <v>48</v>
      </c>
      <c r="E13" s="25"/>
      <c r="F13" s="26" t="s">
        <v>49</v>
      </c>
      <c r="G13" s="27"/>
      <c r="H13" s="12">
        <v>0</v>
      </c>
      <c r="I13" s="13">
        <v>0</v>
      </c>
    </row>
    <row r="14" spans="1:12">
      <c r="A14" s="26" t="s">
        <v>50</v>
      </c>
      <c r="B14" s="27"/>
      <c r="C14" s="12" t="s">
        <v>51</v>
      </c>
      <c r="D14" s="13" t="s">
        <v>51</v>
      </c>
      <c r="E14" s="25"/>
      <c r="F14" s="26" t="s">
        <v>52</v>
      </c>
      <c r="G14" s="27"/>
      <c r="H14" s="12">
        <v>0</v>
      </c>
      <c r="I14" s="13">
        <v>0</v>
      </c>
    </row>
    <row r="15" spans="1:12">
      <c r="A15" s="8" t="s">
        <v>53</v>
      </c>
      <c r="B15" s="9">
        <v>1010203</v>
      </c>
      <c r="C15" s="10" t="s">
        <v>54</v>
      </c>
      <c r="D15" s="11" t="s">
        <v>54</v>
      </c>
      <c r="E15" s="25"/>
      <c r="F15" s="26" t="s">
        <v>55</v>
      </c>
      <c r="G15" s="27"/>
      <c r="H15" s="12">
        <v>0</v>
      </c>
      <c r="I15" s="13">
        <v>0</v>
      </c>
    </row>
    <row r="16" spans="1:12">
      <c r="A16" s="26" t="s">
        <v>56</v>
      </c>
      <c r="B16" s="27"/>
      <c r="C16" s="12" t="s">
        <v>54</v>
      </c>
      <c r="D16" s="13" t="s">
        <v>54</v>
      </c>
      <c r="E16" s="25"/>
      <c r="F16" s="26" t="s">
        <v>57</v>
      </c>
      <c r="G16" s="27"/>
      <c r="H16" s="12">
        <v>0</v>
      </c>
      <c r="I16" s="13">
        <v>0</v>
      </c>
    </row>
    <row r="17" spans="1:9">
      <c r="A17" s="8" t="s">
        <v>58</v>
      </c>
      <c r="B17" s="9">
        <v>1010205</v>
      </c>
      <c r="C17" s="10" t="s">
        <v>59</v>
      </c>
      <c r="D17" s="11" t="s">
        <v>59</v>
      </c>
      <c r="E17" s="25"/>
      <c r="F17" s="26" t="s">
        <v>60</v>
      </c>
      <c r="G17" s="27"/>
      <c r="H17" s="12">
        <v>0</v>
      </c>
      <c r="I17" s="13">
        <v>0</v>
      </c>
    </row>
    <row r="18" spans="1:9">
      <c r="A18" s="26" t="s">
        <v>61</v>
      </c>
      <c r="B18" s="27"/>
      <c r="C18" s="12" t="s">
        <v>62</v>
      </c>
      <c r="D18" s="13" t="s">
        <v>62</v>
      </c>
      <c r="E18" s="25"/>
      <c r="F18" s="26" t="s">
        <v>63</v>
      </c>
      <c r="G18" s="27"/>
      <c r="H18" s="12">
        <v>0</v>
      </c>
      <c r="I18" s="13">
        <v>0</v>
      </c>
    </row>
    <row r="19" spans="1:9">
      <c r="A19" s="26" t="s">
        <v>64</v>
      </c>
      <c r="B19" s="27"/>
      <c r="C19" s="12" t="s">
        <v>65</v>
      </c>
      <c r="D19" s="13" t="s">
        <v>65</v>
      </c>
      <c r="E19" s="25"/>
      <c r="F19" s="26" t="s">
        <v>66</v>
      </c>
      <c r="G19" s="27"/>
      <c r="H19" s="12">
        <v>0</v>
      </c>
      <c r="I19" s="13">
        <v>0</v>
      </c>
    </row>
    <row r="20" spans="1:9">
      <c r="A20" s="26" t="s">
        <v>67</v>
      </c>
      <c r="B20" s="27"/>
      <c r="C20" s="12" t="s">
        <v>68</v>
      </c>
      <c r="D20" s="13" t="s">
        <v>68</v>
      </c>
      <c r="E20" s="25"/>
      <c r="F20" s="26" t="s">
        <v>69</v>
      </c>
      <c r="G20" s="27"/>
      <c r="H20" s="12" t="s">
        <v>70</v>
      </c>
      <c r="I20" s="13" t="s">
        <v>70</v>
      </c>
    </row>
    <row r="21" spans="1:9">
      <c r="A21" s="26" t="s">
        <v>71</v>
      </c>
      <c r="B21" s="27"/>
      <c r="C21" s="12" t="s">
        <v>72</v>
      </c>
      <c r="D21" s="13" t="s">
        <v>72</v>
      </c>
      <c r="E21" s="25"/>
      <c r="F21" s="26" t="s">
        <v>73</v>
      </c>
      <c r="G21" s="27"/>
      <c r="H21" s="12">
        <v>0</v>
      </c>
      <c r="I21" s="13">
        <v>0</v>
      </c>
    </row>
    <row r="22" spans="1:9">
      <c r="A22" s="8" t="s">
        <v>74</v>
      </c>
      <c r="B22" s="9">
        <v>1010209</v>
      </c>
      <c r="C22" s="10" t="s">
        <v>75</v>
      </c>
      <c r="D22" s="11" t="s">
        <v>75</v>
      </c>
      <c r="E22" s="25"/>
      <c r="F22" s="26" t="s">
        <v>76</v>
      </c>
      <c r="G22" s="27"/>
      <c r="H22" s="12">
        <v>0</v>
      </c>
      <c r="I22" s="13">
        <v>0</v>
      </c>
    </row>
    <row r="23" spans="1:9">
      <c r="A23" s="26" t="s">
        <v>77</v>
      </c>
      <c r="B23" s="27"/>
      <c r="C23" s="12" t="s">
        <v>75</v>
      </c>
      <c r="D23" s="13" t="s">
        <v>75</v>
      </c>
      <c r="E23" s="25"/>
      <c r="F23" s="26" t="s">
        <v>78</v>
      </c>
      <c r="G23" s="27"/>
      <c r="H23" s="12">
        <v>0</v>
      </c>
      <c r="I23" s="13">
        <v>0</v>
      </c>
    </row>
    <row r="24" spans="1:9">
      <c r="A24" s="8" t="s">
        <v>79</v>
      </c>
      <c r="B24" s="9">
        <v>10103</v>
      </c>
      <c r="C24" s="10" t="s">
        <v>80</v>
      </c>
      <c r="D24" s="11" t="s">
        <v>80</v>
      </c>
      <c r="E24" s="25"/>
      <c r="F24" s="26" t="s">
        <v>81</v>
      </c>
      <c r="G24" s="27"/>
      <c r="H24" s="12" t="s">
        <v>82</v>
      </c>
      <c r="I24" s="13" t="s">
        <v>82</v>
      </c>
    </row>
    <row r="25" spans="1:9">
      <c r="A25" s="8" t="s">
        <v>83</v>
      </c>
      <c r="B25" s="9">
        <v>1010306</v>
      </c>
      <c r="C25" s="10" t="s">
        <v>84</v>
      </c>
      <c r="D25" s="11" t="s">
        <v>84</v>
      </c>
      <c r="E25" s="25"/>
      <c r="F25" s="26" t="s">
        <v>85</v>
      </c>
      <c r="G25" s="27"/>
      <c r="H25" s="12">
        <v>0</v>
      </c>
      <c r="I25" s="13">
        <v>0</v>
      </c>
    </row>
    <row r="26" spans="1:9">
      <c r="A26" s="26" t="s">
        <v>86</v>
      </c>
      <c r="B26" s="27"/>
      <c r="C26" s="12" t="s">
        <v>87</v>
      </c>
      <c r="D26" s="13" t="s">
        <v>87</v>
      </c>
      <c r="E26" s="25"/>
      <c r="F26" s="26" t="s">
        <v>88</v>
      </c>
      <c r="G26" s="27"/>
      <c r="H26" s="12">
        <v>0</v>
      </c>
      <c r="I26" s="13">
        <v>0</v>
      </c>
    </row>
    <row r="27" spans="1:9">
      <c r="A27" s="26" t="s">
        <v>89</v>
      </c>
      <c r="B27" s="27"/>
      <c r="C27" s="12" t="s">
        <v>90</v>
      </c>
      <c r="D27" s="13" t="s">
        <v>90</v>
      </c>
      <c r="E27" s="25"/>
      <c r="F27" s="26" t="s">
        <v>91</v>
      </c>
      <c r="G27" s="27"/>
      <c r="H27" s="12" t="s">
        <v>92</v>
      </c>
      <c r="I27" s="13" t="s">
        <v>92</v>
      </c>
    </row>
    <row r="28" spans="1:9">
      <c r="A28" s="26" t="s">
        <v>93</v>
      </c>
      <c r="B28" s="27"/>
      <c r="C28" s="12" t="s">
        <v>94</v>
      </c>
      <c r="D28" s="13" t="s">
        <v>94</v>
      </c>
      <c r="E28" s="25"/>
      <c r="F28" s="26" t="s">
        <v>95</v>
      </c>
      <c r="G28" s="27"/>
      <c r="H28" s="12">
        <v>0</v>
      </c>
      <c r="I28" s="13">
        <v>0</v>
      </c>
    </row>
    <row r="29" spans="1:9">
      <c r="A29" s="26" t="s">
        <v>96</v>
      </c>
      <c r="B29" s="27"/>
      <c r="C29" s="12" t="s">
        <v>97</v>
      </c>
      <c r="D29" s="13" t="s">
        <v>97</v>
      </c>
      <c r="E29" s="25"/>
      <c r="F29" s="9" t="s">
        <v>98</v>
      </c>
      <c r="G29" s="9">
        <v>2010703</v>
      </c>
      <c r="H29" s="10" t="s">
        <v>99</v>
      </c>
      <c r="I29" s="11" t="s">
        <v>99</v>
      </c>
    </row>
    <row r="30" spans="1:9">
      <c r="A30" s="8" t="s">
        <v>100</v>
      </c>
      <c r="B30" s="9">
        <v>1010307</v>
      </c>
      <c r="C30" s="10" t="s">
        <v>101</v>
      </c>
      <c r="D30" s="11" t="s">
        <v>101</v>
      </c>
      <c r="E30" s="25"/>
      <c r="F30" s="26" t="s">
        <v>102</v>
      </c>
      <c r="G30" s="27"/>
      <c r="H30" s="12" t="s">
        <v>103</v>
      </c>
      <c r="I30" s="13" t="s">
        <v>103</v>
      </c>
    </row>
    <row r="31" spans="1:9">
      <c r="A31" s="26" t="s">
        <v>104</v>
      </c>
      <c r="B31" s="27"/>
      <c r="C31" s="12" t="s">
        <v>101</v>
      </c>
      <c r="D31" s="13" t="s">
        <v>101</v>
      </c>
      <c r="E31" s="25"/>
      <c r="F31" s="26" t="s">
        <v>105</v>
      </c>
      <c r="G31" s="27"/>
      <c r="H31" s="12" t="s">
        <v>106</v>
      </c>
      <c r="I31" s="13" t="s">
        <v>106</v>
      </c>
    </row>
    <row r="32" spans="1:9">
      <c r="A32" s="8" t="s">
        <v>107</v>
      </c>
      <c r="B32" s="9">
        <v>10104</v>
      </c>
      <c r="C32" s="10" t="s">
        <v>108</v>
      </c>
      <c r="D32" s="11" t="s">
        <v>108</v>
      </c>
      <c r="E32" s="25"/>
      <c r="F32" s="26" t="s">
        <v>109</v>
      </c>
      <c r="G32" s="27"/>
      <c r="H32" s="12" t="s">
        <v>110</v>
      </c>
      <c r="I32" s="13" t="s">
        <v>110</v>
      </c>
    </row>
    <row r="33" spans="1:9">
      <c r="A33" s="8" t="s">
        <v>111</v>
      </c>
      <c r="B33" s="9">
        <v>1010401</v>
      </c>
      <c r="C33" s="10" t="s">
        <v>112</v>
      </c>
      <c r="D33" s="11" t="s">
        <v>112</v>
      </c>
      <c r="E33" s="25"/>
      <c r="F33" s="9" t="s">
        <v>113</v>
      </c>
      <c r="G33" s="9">
        <v>2010704</v>
      </c>
      <c r="H33" s="10" t="s">
        <v>114</v>
      </c>
      <c r="I33" s="11" t="s">
        <v>114</v>
      </c>
    </row>
    <row r="34" spans="1:9">
      <c r="A34" s="26" t="s">
        <v>115</v>
      </c>
      <c r="B34" s="27"/>
      <c r="C34" s="12" t="s">
        <v>116</v>
      </c>
      <c r="D34" s="13" t="s">
        <v>116</v>
      </c>
      <c r="E34" s="25"/>
      <c r="F34" s="26" t="s">
        <v>117</v>
      </c>
      <c r="G34" s="27"/>
      <c r="H34" s="12" t="s">
        <v>118</v>
      </c>
      <c r="I34" s="13" t="s">
        <v>118</v>
      </c>
    </row>
    <row r="35" spans="1:9">
      <c r="A35" s="26" t="s">
        <v>119</v>
      </c>
      <c r="B35" s="27"/>
      <c r="C35" s="12" t="s">
        <v>120</v>
      </c>
      <c r="D35" s="13" t="s">
        <v>120</v>
      </c>
      <c r="E35" s="25"/>
      <c r="F35" s="26" t="s">
        <v>121</v>
      </c>
      <c r="G35" s="27"/>
      <c r="H35" s="12" t="s">
        <v>122</v>
      </c>
      <c r="I35" s="13" t="s">
        <v>122</v>
      </c>
    </row>
    <row r="36" spans="1:9">
      <c r="A36" s="8" t="s">
        <v>123</v>
      </c>
      <c r="B36" s="9">
        <v>1010403</v>
      </c>
      <c r="C36" s="10" t="s">
        <v>124</v>
      </c>
      <c r="D36" s="11" t="s">
        <v>124</v>
      </c>
      <c r="E36" s="25"/>
      <c r="F36" s="26" t="s">
        <v>125</v>
      </c>
      <c r="G36" s="27"/>
      <c r="H36" s="12" t="s">
        <v>126</v>
      </c>
      <c r="I36" s="13" t="s">
        <v>126</v>
      </c>
    </row>
    <row r="37" spans="1:9">
      <c r="A37" s="26" t="s">
        <v>127</v>
      </c>
      <c r="B37" s="27"/>
      <c r="C37" s="12" t="s">
        <v>124</v>
      </c>
      <c r="D37" s="13" t="s">
        <v>124</v>
      </c>
      <c r="E37" s="25"/>
      <c r="F37" s="26" t="s">
        <v>128</v>
      </c>
      <c r="G37" s="27"/>
      <c r="H37" s="12" t="s">
        <v>129</v>
      </c>
      <c r="I37" s="13" t="s">
        <v>129</v>
      </c>
    </row>
    <row r="38" spans="1:9">
      <c r="A38" s="8" t="s">
        <v>130</v>
      </c>
      <c r="B38" s="9">
        <v>1010404</v>
      </c>
      <c r="C38" s="10" t="s">
        <v>131</v>
      </c>
      <c r="D38" s="11" t="s">
        <v>131</v>
      </c>
      <c r="E38" s="25"/>
      <c r="F38" s="26" t="s">
        <v>132</v>
      </c>
      <c r="G38" s="27"/>
      <c r="H38" s="12" t="s">
        <v>133</v>
      </c>
      <c r="I38" s="13" t="s">
        <v>133</v>
      </c>
    </row>
    <row r="39" spans="1:9">
      <c r="A39" s="26" t="s">
        <v>134</v>
      </c>
      <c r="B39" s="27"/>
      <c r="C39" s="12" t="s">
        <v>131</v>
      </c>
      <c r="D39" s="13" t="s">
        <v>131</v>
      </c>
      <c r="E39" s="25"/>
      <c r="F39" s="26" t="s">
        <v>135</v>
      </c>
      <c r="G39" s="27"/>
      <c r="H39" s="12" t="s">
        <v>136</v>
      </c>
      <c r="I39" s="13" t="s">
        <v>136</v>
      </c>
    </row>
    <row r="40" spans="1:9">
      <c r="A40" s="8" t="s">
        <v>137</v>
      </c>
      <c r="B40" s="9">
        <v>10105</v>
      </c>
      <c r="C40" s="10" t="s">
        <v>138</v>
      </c>
      <c r="D40" s="11" t="s">
        <v>138</v>
      </c>
      <c r="E40" s="25"/>
      <c r="F40" s="26" t="s">
        <v>139</v>
      </c>
      <c r="G40" s="27"/>
      <c r="H40" s="12" t="s">
        <v>140</v>
      </c>
      <c r="I40" s="13" t="s">
        <v>140</v>
      </c>
    </row>
    <row r="41" spans="1:9">
      <c r="A41" s="8" t="s">
        <v>141</v>
      </c>
      <c r="B41" s="9">
        <v>1010501</v>
      </c>
      <c r="C41" s="10" t="s">
        <v>142</v>
      </c>
      <c r="D41" s="11" t="s">
        <v>142</v>
      </c>
      <c r="E41" s="25"/>
      <c r="F41" s="26" t="s">
        <v>143</v>
      </c>
      <c r="G41" s="27"/>
      <c r="H41" s="12" t="s">
        <v>144</v>
      </c>
      <c r="I41" s="13" t="s">
        <v>144</v>
      </c>
    </row>
    <row r="42" spans="1:9">
      <c r="A42" s="26" t="s">
        <v>145</v>
      </c>
      <c r="B42" s="27"/>
      <c r="C42" s="12" t="s">
        <v>142</v>
      </c>
      <c r="D42" s="13" t="s">
        <v>142</v>
      </c>
      <c r="E42" s="25"/>
      <c r="F42" s="26" t="s">
        <v>146</v>
      </c>
      <c r="G42" s="27"/>
      <c r="H42" s="12" t="s">
        <v>147</v>
      </c>
      <c r="I42" s="13" t="s">
        <v>147</v>
      </c>
    </row>
    <row r="43" spans="1:9">
      <c r="A43" s="26" t="s">
        <v>148</v>
      </c>
      <c r="B43" s="27"/>
      <c r="C43" s="12">
        <v>0</v>
      </c>
      <c r="D43" s="13">
        <v>0</v>
      </c>
      <c r="E43" s="25"/>
      <c r="F43" s="26" t="s">
        <v>149</v>
      </c>
      <c r="G43" s="27"/>
      <c r="H43" s="12" t="s">
        <v>150</v>
      </c>
      <c r="I43" s="13" t="s">
        <v>150</v>
      </c>
    </row>
    <row r="44" spans="1:9">
      <c r="A44" s="26" t="s">
        <v>151</v>
      </c>
      <c r="B44" s="27"/>
      <c r="C44" s="12">
        <v>0</v>
      </c>
      <c r="D44" s="13">
        <v>0</v>
      </c>
      <c r="E44" s="25"/>
      <c r="F44" s="26" t="s">
        <v>152</v>
      </c>
      <c r="G44" s="27"/>
      <c r="H44" s="12" t="s">
        <v>153</v>
      </c>
      <c r="I44" s="13" t="s">
        <v>153</v>
      </c>
    </row>
    <row r="45" spans="1:9">
      <c r="A45" s="8" t="s">
        <v>154</v>
      </c>
      <c r="B45" s="9">
        <v>1010502</v>
      </c>
      <c r="C45" s="10" t="s">
        <v>155</v>
      </c>
      <c r="D45" s="11" t="s">
        <v>155</v>
      </c>
      <c r="E45" s="25"/>
      <c r="F45" s="9" t="s">
        <v>156</v>
      </c>
      <c r="G45" s="9">
        <v>2010705</v>
      </c>
      <c r="H45" s="10">
        <v>0</v>
      </c>
      <c r="I45" s="11">
        <v>0</v>
      </c>
    </row>
    <row r="46" spans="1:9">
      <c r="A46" s="26" t="s">
        <v>157</v>
      </c>
      <c r="B46" s="27"/>
      <c r="C46" s="12" t="s">
        <v>158</v>
      </c>
      <c r="D46" s="13" t="s">
        <v>158</v>
      </c>
      <c r="E46" s="25"/>
      <c r="F46" s="26" t="s">
        <v>159</v>
      </c>
      <c r="G46" s="27"/>
      <c r="H46" s="12">
        <v>0</v>
      </c>
      <c r="I46" s="13">
        <v>0</v>
      </c>
    </row>
    <row r="47" spans="1:9">
      <c r="A47" s="26" t="s">
        <v>160</v>
      </c>
      <c r="B47" s="27"/>
      <c r="C47" s="12" t="s">
        <v>161</v>
      </c>
      <c r="D47" s="13" t="s">
        <v>161</v>
      </c>
      <c r="E47" s="25"/>
      <c r="F47" s="9" t="s">
        <v>162</v>
      </c>
      <c r="G47" s="9">
        <v>2010706</v>
      </c>
      <c r="H47" s="10">
        <v>0</v>
      </c>
      <c r="I47" s="11">
        <v>0</v>
      </c>
    </row>
    <row r="48" spans="1:9">
      <c r="A48" s="26" t="s">
        <v>163</v>
      </c>
      <c r="B48" s="27"/>
      <c r="C48" s="12">
        <v>1</v>
      </c>
      <c r="D48" s="13">
        <v>1</v>
      </c>
      <c r="E48" s="25"/>
      <c r="F48" s="26" t="s">
        <v>164</v>
      </c>
      <c r="G48" s="27"/>
      <c r="H48" s="12">
        <v>0</v>
      </c>
      <c r="I48" s="13">
        <v>0</v>
      </c>
    </row>
    <row r="49" spans="1:9">
      <c r="A49" s="8" t="s">
        <v>165</v>
      </c>
      <c r="B49" s="9">
        <v>102</v>
      </c>
      <c r="C49" s="10" t="s">
        <v>166</v>
      </c>
      <c r="D49" s="11" t="s">
        <v>166</v>
      </c>
      <c r="E49" s="25"/>
      <c r="F49" s="9" t="s">
        <v>167</v>
      </c>
      <c r="G49" s="9">
        <v>20113</v>
      </c>
      <c r="H49" s="10" t="s">
        <v>168</v>
      </c>
      <c r="I49" s="11" t="s">
        <v>168</v>
      </c>
    </row>
    <row r="50" spans="1:9">
      <c r="A50" s="8" t="s">
        <v>169</v>
      </c>
      <c r="B50" s="9">
        <v>10201</v>
      </c>
      <c r="C50" s="10" t="s">
        <v>170</v>
      </c>
      <c r="D50" s="11" t="s">
        <v>170</v>
      </c>
      <c r="E50" s="25"/>
      <c r="F50" s="26" t="s">
        <v>171</v>
      </c>
      <c r="G50" s="27"/>
      <c r="H50" s="12" t="s">
        <v>168</v>
      </c>
      <c r="I50" s="13" t="s">
        <v>168</v>
      </c>
    </row>
    <row r="51" spans="1:9">
      <c r="A51" s="8" t="s">
        <v>172</v>
      </c>
      <c r="B51" s="9">
        <v>1020105</v>
      </c>
      <c r="C51" s="10" t="s">
        <v>173</v>
      </c>
      <c r="D51" s="11" t="s">
        <v>173</v>
      </c>
      <c r="E51" s="25"/>
      <c r="F51" s="9" t="s">
        <v>174</v>
      </c>
      <c r="G51" s="9">
        <v>202</v>
      </c>
      <c r="H51" s="10" t="s">
        <v>175</v>
      </c>
      <c r="I51" s="11" t="s">
        <v>175</v>
      </c>
    </row>
    <row r="52" spans="1:9">
      <c r="A52" s="26" t="s">
        <v>176</v>
      </c>
      <c r="B52" s="27"/>
      <c r="C52" s="12" t="s">
        <v>173</v>
      </c>
      <c r="D52" s="13" t="s">
        <v>173</v>
      </c>
      <c r="E52" s="25"/>
      <c r="F52" s="9" t="s">
        <v>177</v>
      </c>
      <c r="G52" s="9">
        <v>20207</v>
      </c>
      <c r="H52" s="10" t="s">
        <v>178</v>
      </c>
      <c r="I52" s="11" t="s">
        <v>178</v>
      </c>
    </row>
    <row r="53" spans="1:9">
      <c r="A53" s="8" t="s">
        <v>179</v>
      </c>
      <c r="B53" s="9">
        <v>1020106</v>
      </c>
      <c r="C53" s="10" t="s">
        <v>180</v>
      </c>
      <c r="D53" s="11" t="s">
        <v>180</v>
      </c>
      <c r="E53" s="25"/>
      <c r="F53" s="9" t="s">
        <v>181</v>
      </c>
      <c r="G53" s="9">
        <v>2020701</v>
      </c>
      <c r="H53" s="10" t="s">
        <v>178</v>
      </c>
      <c r="I53" s="11" t="s">
        <v>178</v>
      </c>
    </row>
    <row r="54" spans="1:9">
      <c r="A54" s="26" t="s">
        <v>182</v>
      </c>
      <c r="B54" s="27"/>
      <c r="C54" s="12" t="s">
        <v>180</v>
      </c>
      <c r="D54" s="13" t="s">
        <v>180</v>
      </c>
      <c r="E54" s="25"/>
      <c r="F54" s="26" t="s">
        <v>183</v>
      </c>
      <c r="G54" s="27"/>
      <c r="H54" s="12" t="s">
        <v>178</v>
      </c>
      <c r="I54" s="13" t="s">
        <v>178</v>
      </c>
    </row>
    <row r="55" spans="1:9">
      <c r="A55" s="8" t="s">
        <v>184</v>
      </c>
      <c r="B55" s="9">
        <v>1020108</v>
      </c>
      <c r="C55" s="10" t="s">
        <v>185</v>
      </c>
      <c r="D55" s="11" t="s">
        <v>185</v>
      </c>
      <c r="E55" s="25"/>
      <c r="F55" s="9" t="s">
        <v>186</v>
      </c>
      <c r="G55" s="9">
        <v>20208</v>
      </c>
      <c r="H55" s="10" t="s">
        <v>187</v>
      </c>
      <c r="I55" s="11" t="s">
        <v>187</v>
      </c>
    </row>
    <row r="56" spans="1:9">
      <c r="A56" s="26" t="s">
        <v>188</v>
      </c>
      <c r="B56" s="27"/>
      <c r="C56" s="12" t="s">
        <v>185</v>
      </c>
      <c r="D56" s="13" t="s">
        <v>185</v>
      </c>
      <c r="E56" s="25"/>
      <c r="F56" s="26" t="s">
        <v>189</v>
      </c>
      <c r="G56" s="27"/>
      <c r="H56" s="12" t="s">
        <v>187</v>
      </c>
      <c r="I56" s="13" t="s">
        <v>187</v>
      </c>
    </row>
    <row r="57" spans="1:9">
      <c r="A57" s="8" t="s">
        <v>190</v>
      </c>
      <c r="B57" s="9">
        <v>1020109</v>
      </c>
      <c r="C57" s="10" t="s">
        <v>191</v>
      </c>
      <c r="D57" s="11" t="s">
        <v>191</v>
      </c>
      <c r="E57" s="25"/>
      <c r="F57" s="16" t="s">
        <v>0</v>
      </c>
      <c r="G57" s="16" t="s">
        <v>1</v>
      </c>
      <c r="H57" s="17" t="s">
        <v>2</v>
      </c>
      <c r="I57" s="18" t="s">
        <v>4</v>
      </c>
    </row>
    <row r="58" spans="1:9">
      <c r="A58" s="26" t="s">
        <v>192</v>
      </c>
      <c r="B58" s="27"/>
      <c r="C58" s="12" t="s">
        <v>191</v>
      </c>
      <c r="D58" s="13" t="s">
        <v>191</v>
      </c>
      <c r="E58" s="25"/>
      <c r="F58" s="9" t="s">
        <v>193</v>
      </c>
      <c r="G58" s="9">
        <v>3</v>
      </c>
      <c r="H58" s="10" t="s">
        <v>194</v>
      </c>
      <c r="I58" s="11" t="s">
        <v>194</v>
      </c>
    </row>
    <row r="59" spans="1:9">
      <c r="A59" s="8" t="s">
        <v>195</v>
      </c>
      <c r="B59" s="9">
        <v>1020112</v>
      </c>
      <c r="C59" s="10" t="s">
        <v>196</v>
      </c>
      <c r="D59" s="11" t="s">
        <v>196</v>
      </c>
      <c r="E59" s="25"/>
      <c r="F59" s="9" t="s">
        <v>197</v>
      </c>
      <c r="G59" s="9">
        <v>301</v>
      </c>
      <c r="H59" s="10" t="s">
        <v>198</v>
      </c>
      <c r="I59" s="11" t="s">
        <v>198</v>
      </c>
    </row>
    <row r="60" spans="1:9">
      <c r="A60" s="26" t="s">
        <v>199</v>
      </c>
      <c r="B60" s="27"/>
      <c r="C60" s="12" t="s">
        <v>200</v>
      </c>
      <c r="D60" s="13" t="s">
        <v>200</v>
      </c>
      <c r="E60" s="25"/>
      <c r="F60" s="9" t="s">
        <v>201</v>
      </c>
      <c r="G60" s="9">
        <v>30101</v>
      </c>
      <c r="H60" s="10" t="s">
        <v>198</v>
      </c>
      <c r="I60" s="11" t="s">
        <v>198</v>
      </c>
    </row>
    <row r="61" spans="1:9">
      <c r="A61" s="26" t="s">
        <v>202</v>
      </c>
      <c r="B61" s="27"/>
      <c r="C61" s="12" t="s">
        <v>203</v>
      </c>
      <c r="D61" s="13" t="s">
        <v>203</v>
      </c>
      <c r="E61" s="25"/>
      <c r="F61" s="26" t="s">
        <v>204</v>
      </c>
      <c r="G61" s="27"/>
      <c r="H61" s="12" t="s">
        <v>205</v>
      </c>
      <c r="I61" s="13" t="s">
        <v>205</v>
      </c>
    </row>
    <row r="62" spans="1:9">
      <c r="A62" s="26" t="s">
        <v>206</v>
      </c>
      <c r="B62" s="27"/>
      <c r="C62" s="12" t="s">
        <v>207</v>
      </c>
      <c r="D62" s="13" t="s">
        <v>207</v>
      </c>
      <c r="E62" s="25"/>
      <c r="F62" s="26" t="s">
        <v>208</v>
      </c>
      <c r="G62" s="27"/>
      <c r="H62" s="12" t="s">
        <v>209</v>
      </c>
      <c r="I62" s="13" t="s">
        <v>209</v>
      </c>
    </row>
    <row r="63" spans="1:9">
      <c r="A63" s="26" t="s">
        <v>210</v>
      </c>
      <c r="B63" s="27"/>
      <c r="C63" s="12" t="s">
        <v>211</v>
      </c>
      <c r="D63" s="13" t="s">
        <v>211</v>
      </c>
      <c r="E63" s="25"/>
      <c r="F63" s="9" t="s">
        <v>212</v>
      </c>
      <c r="G63" s="9">
        <v>304</v>
      </c>
      <c r="H63" s="10" t="s">
        <v>213</v>
      </c>
      <c r="I63" s="11" t="s">
        <v>213</v>
      </c>
    </row>
    <row r="64" spans="1:9">
      <c r="A64" s="8" t="s">
        <v>214</v>
      </c>
      <c r="B64" s="9">
        <v>10205</v>
      </c>
      <c r="C64" s="10" t="s">
        <v>215</v>
      </c>
      <c r="D64" s="11" t="s">
        <v>215</v>
      </c>
      <c r="E64" s="25"/>
      <c r="F64" s="9" t="s">
        <v>216</v>
      </c>
      <c r="G64" s="9">
        <v>30401</v>
      </c>
      <c r="H64" s="10" t="s">
        <v>213</v>
      </c>
      <c r="I64" s="11" t="s">
        <v>213</v>
      </c>
    </row>
    <row r="65" spans="1:9">
      <c r="A65" s="26" t="s">
        <v>217</v>
      </c>
      <c r="B65" s="27"/>
      <c r="C65" s="12" t="s">
        <v>218</v>
      </c>
      <c r="D65" s="13" t="s">
        <v>218</v>
      </c>
      <c r="E65" s="25"/>
      <c r="F65" s="26" t="s">
        <v>219</v>
      </c>
      <c r="G65" s="27"/>
      <c r="H65" s="12" t="s">
        <v>213</v>
      </c>
      <c r="I65" s="13" t="s">
        <v>213</v>
      </c>
    </row>
    <row r="66" spans="1:9">
      <c r="A66" s="26" t="s">
        <v>220</v>
      </c>
      <c r="B66" s="27"/>
      <c r="C66" s="12" t="s">
        <v>221</v>
      </c>
      <c r="D66" s="13" t="s">
        <v>221</v>
      </c>
      <c r="E66" s="25"/>
      <c r="F66" s="9" t="s">
        <v>222</v>
      </c>
      <c r="G66" s="9">
        <v>306</v>
      </c>
      <c r="H66" s="10" t="s">
        <v>223</v>
      </c>
      <c r="I66" s="11" t="s">
        <v>223</v>
      </c>
    </row>
    <row r="67" spans="1:9">
      <c r="A67" s="8" t="s">
        <v>224</v>
      </c>
      <c r="B67" s="9">
        <v>10207</v>
      </c>
      <c r="C67" s="10" t="s">
        <v>225</v>
      </c>
      <c r="D67" s="11" t="s">
        <v>225</v>
      </c>
      <c r="E67" s="25"/>
      <c r="F67" s="9" t="s">
        <v>226</v>
      </c>
      <c r="G67" s="9">
        <v>30601</v>
      </c>
      <c r="H67" s="10" t="s">
        <v>223</v>
      </c>
      <c r="I67" s="11" t="s">
        <v>223</v>
      </c>
    </row>
    <row r="68" spans="1:9">
      <c r="A68" s="8" t="s">
        <v>227</v>
      </c>
      <c r="B68" s="9">
        <v>1020706</v>
      </c>
      <c r="C68" s="10" t="s">
        <v>225</v>
      </c>
      <c r="D68" s="11" t="s">
        <v>225</v>
      </c>
      <c r="E68" s="25"/>
      <c r="F68" s="26" t="s">
        <v>228</v>
      </c>
      <c r="G68" s="27"/>
      <c r="H68" s="12" t="s">
        <v>223</v>
      </c>
      <c r="I68" s="13" t="s">
        <v>223</v>
      </c>
    </row>
    <row r="69" spans="1:9">
      <c r="A69" s="26" t="s">
        <v>229</v>
      </c>
      <c r="B69" s="27"/>
      <c r="C69" s="12" t="s">
        <v>225</v>
      </c>
      <c r="D69" s="13" t="s">
        <v>225</v>
      </c>
      <c r="E69" s="25"/>
      <c r="F69" s="9" t="s">
        <v>230</v>
      </c>
      <c r="G69" s="9">
        <v>307</v>
      </c>
      <c r="H69" s="10">
        <v>0</v>
      </c>
      <c r="I69" s="11">
        <v>0</v>
      </c>
    </row>
    <row r="70" spans="1:9">
      <c r="A70" s="29"/>
      <c r="B70" s="27"/>
      <c r="C70" s="27"/>
      <c r="D70" s="30"/>
      <c r="E70" s="25"/>
      <c r="F70" s="9" t="s">
        <v>231</v>
      </c>
      <c r="G70" s="9">
        <v>30701</v>
      </c>
      <c r="H70" s="10" t="s">
        <v>232</v>
      </c>
      <c r="I70" s="11" t="s">
        <v>232</v>
      </c>
    </row>
    <row r="71" spans="1:9">
      <c r="A71" s="21"/>
      <c r="B71" s="22"/>
      <c r="C71" s="22"/>
      <c r="D71" s="23"/>
      <c r="E71" s="25"/>
      <c r="F71" s="9" t="s">
        <v>233</v>
      </c>
      <c r="G71" s="9">
        <v>30702</v>
      </c>
      <c r="H71" s="10">
        <v>0</v>
      </c>
      <c r="I71" s="11">
        <v>0</v>
      </c>
    </row>
    <row r="72" spans="1:9">
      <c r="A72" s="29"/>
      <c r="B72" s="27"/>
      <c r="C72" s="27"/>
      <c r="D72" s="30"/>
      <c r="E72" s="25"/>
      <c r="F72" s="16"/>
      <c r="G72" s="9"/>
      <c r="H72" s="17"/>
      <c r="I72" s="18"/>
    </row>
    <row r="73" spans="1:9">
      <c r="A73" s="21"/>
      <c r="B73" s="22"/>
      <c r="C73" s="22"/>
      <c r="D73" s="23"/>
      <c r="E73" s="25"/>
      <c r="F73" s="28" t="s">
        <v>234</v>
      </c>
      <c r="G73" s="22"/>
      <c r="H73" s="19">
        <v>0</v>
      </c>
      <c r="I73" s="20">
        <v>0</v>
      </c>
    </row>
  </sheetData>
  <mergeCells count="90">
    <mergeCell ref="A9:B9"/>
    <mergeCell ref="A10:B10"/>
    <mergeCell ref="A6:B6"/>
    <mergeCell ref="A11:B11"/>
    <mergeCell ref="A12:B12"/>
    <mergeCell ref="A13:B13"/>
    <mergeCell ref="F13:G13"/>
    <mergeCell ref="A14:B14"/>
    <mergeCell ref="F14:G14"/>
    <mergeCell ref="F15:G15"/>
    <mergeCell ref="A16:B16"/>
    <mergeCell ref="F16:G16"/>
    <mergeCell ref="A19:B19"/>
    <mergeCell ref="F19:G19"/>
    <mergeCell ref="A20:B20"/>
    <mergeCell ref="F20:G20"/>
    <mergeCell ref="F17:G17"/>
    <mergeCell ref="A18:B18"/>
    <mergeCell ref="F18:G18"/>
    <mergeCell ref="A21:B21"/>
    <mergeCell ref="F21:G21"/>
    <mergeCell ref="F22:G22"/>
    <mergeCell ref="A23:B23"/>
    <mergeCell ref="F23:G23"/>
    <mergeCell ref="F24:G24"/>
    <mergeCell ref="F25:G25"/>
    <mergeCell ref="A26:B26"/>
    <mergeCell ref="F26:G26"/>
    <mergeCell ref="A27:B27"/>
    <mergeCell ref="F27:G27"/>
    <mergeCell ref="A28:B28"/>
    <mergeCell ref="F28:G28"/>
    <mergeCell ref="A29:B29"/>
    <mergeCell ref="F30:G30"/>
    <mergeCell ref="A31:B31"/>
    <mergeCell ref="F31:G31"/>
    <mergeCell ref="A42:B42"/>
    <mergeCell ref="F42:G42"/>
    <mergeCell ref="F32:G32"/>
    <mergeCell ref="A34:B34"/>
    <mergeCell ref="F34:G34"/>
    <mergeCell ref="F38:G38"/>
    <mergeCell ref="A39:B39"/>
    <mergeCell ref="F39:G39"/>
    <mergeCell ref="F40:G40"/>
    <mergeCell ref="F41:G41"/>
    <mergeCell ref="A35:B35"/>
    <mergeCell ref="F35:G35"/>
    <mergeCell ref="F36:G36"/>
    <mergeCell ref="A37:B37"/>
    <mergeCell ref="F37:G37"/>
    <mergeCell ref="A43:B43"/>
    <mergeCell ref="F43:G43"/>
    <mergeCell ref="A44:B44"/>
    <mergeCell ref="F44:G44"/>
    <mergeCell ref="A46:B46"/>
    <mergeCell ref="F46:G46"/>
    <mergeCell ref="A47:B47"/>
    <mergeCell ref="A48:B48"/>
    <mergeCell ref="F48:G48"/>
    <mergeCell ref="F50:G50"/>
    <mergeCell ref="A52:B52"/>
    <mergeCell ref="A54:B54"/>
    <mergeCell ref="F54:G54"/>
    <mergeCell ref="A56:B56"/>
    <mergeCell ref="F56:G56"/>
    <mergeCell ref="A72:D72"/>
    <mergeCell ref="A65:B65"/>
    <mergeCell ref="F65:G65"/>
    <mergeCell ref="A66:B66"/>
    <mergeCell ref="F68:G68"/>
    <mergeCell ref="A69:B69"/>
    <mergeCell ref="A70:D70"/>
    <mergeCell ref="A71:D71"/>
    <mergeCell ref="A73:D73"/>
    <mergeCell ref="E1:E73"/>
    <mergeCell ref="A5:B5"/>
    <mergeCell ref="F6:G6"/>
    <mergeCell ref="F7:G7"/>
    <mergeCell ref="F8:G8"/>
    <mergeCell ref="F9:G9"/>
    <mergeCell ref="F10:G10"/>
    <mergeCell ref="F73:G73"/>
    <mergeCell ref="A58:B58"/>
    <mergeCell ref="A60:B60"/>
    <mergeCell ref="A61:B61"/>
    <mergeCell ref="F61:G61"/>
    <mergeCell ref="A62:B62"/>
    <mergeCell ref="F62:G62"/>
    <mergeCell ref="A63:B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3"/>
  <sheetViews>
    <sheetView workbookViewId="0"/>
  </sheetViews>
  <sheetFormatPr baseColWidth="10" defaultColWidth="12.5546875" defaultRowHeight="15.75" customHeight="1"/>
  <sheetData>
    <row r="1" spans="1:5">
      <c r="A1" s="4" t="s">
        <v>3</v>
      </c>
      <c r="B1" s="4" t="s">
        <v>5</v>
      </c>
      <c r="C1" s="4" t="s">
        <v>6</v>
      </c>
      <c r="D1" s="6" t="s">
        <v>7</v>
      </c>
      <c r="E1" s="4" t="s">
        <v>8</v>
      </c>
    </row>
    <row r="2" spans="1:5">
      <c r="A2" s="7">
        <v>2014</v>
      </c>
      <c r="B2" s="7">
        <v>7331.8</v>
      </c>
      <c r="C2" s="7">
        <v>7331.8</v>
      </c>
      <c r="D2" s="7">
        <v>0</v>
      </c>
      <c r="E2" s="7">
        <v>0</v>
      </c>
    </row>
    <row r="3" spans="1:5">
      <c r="A3" s="7">
        <v>2015</v>
      </c>
      <c r="B3" s="7">
        <v>13807</v>
      </c>
      <c r="C3" s="7">
        <v>13807</v>
      </c>
      <c r="D3" s="7">
        <v>0</v>
      </c>
      <c r="E3" s="7">
        <v>0</v>
      </c>
    </row>
    <row r="4" spans="1:5">
      <c r="A4" s="7">
        <v>2016</v>
      </c>
      <c r="B4" s="7">
        <v>15388.95</v>
      </c>
      <c r="C4" s="7">
        <v>15388.95</v>
      </c>
      <c r="D4" s="7">
        <v>0</v>
      </c>
      <c r="E4" s="7">
        <v>0</v>
      </c>
    </row>
    <row r="5" spans="1:5">
      <c r="A5" s="7">
        <v>2017</v>
      </c>
      <c r="B5" s="7">
        <v>876.33</v>
      </c>
      <c r="C5" s="7">
        <v>876.33</v>
      </c>
      <c r="D5" s="7">
        <v>0</v>
      </c>
      <c r="E5" s="7">
        <v>0</v>
      </c>
    </row>
    <row r="6" spans="1:5">
      <c r="A6" s="7">
        <v>2018</v>
      </c>
      <c r="B6" s="7">
        <v>66484.53</v>
      </c>
      <c r="C6" s="7">
        <v>66484.53</v>
      </c>
      <c r="D6" s="7">
        <v>0</v>
      </c>
      <c r="E6" s="7">
        <v>0</v>
      </c>
    </row>
    <row r="7" spans="1:5">
      <c r="A7" s="7">
        <v>2019</v>
      </c>
      <c r="B7" s="7">
        <v>37754.67</v>
      </c>
      <c r="C7" s="7">
        <v>37754.67</v>
      </c>
      <c r="D7" s="7">
        <v>0</v>
      </c>
      <c r="E7" s="7">
        <v>0</v>
      </c>
    </row>
    <row r="8" spans="1:5">
      <c r="A8" s="7">
        <v>2020</v>
      </c>
      <c r="B8" s="7">
        <v>91111.88</v>
      </c>
      <c r="C8" s="7">
        <v>91111.88</v>
      </c>
      <c r="D8" s="7">
        <v>0</v>
      </c>
      <c r="E8" s="7">
        <v>0</v>
      </c>
    </row>
    <row r="9" spans="1:5">
      <c r="A9" s="7">
        <v>2021</v>
      </c>
      <c r="B9" s="7">
        <v>192608.05</v>
      </c>
      <c r="C9" s="7">
        <v>192608.05</v>
      </c>
      <c r="D9" s="7">
        <v>0</v>
      </c>
      <c r="E9" s="7">
        <v>0</v>
      </c>
    </row>
    <row r="10" spans="1:5">
      <c r="A10" s="7">
        <v>2022</v>
      </c>
      <c r="B10" s="7">
        <v>216441.41</v>
      </c>
      <c r="C10" s="7">
        <v>72634.09</v>
      </c>
      <c r="D10" s="7">
        <v>0</v>
      </c>
      <c r="E10" s="7">
        <f>B10-C10</f>
        <v>143807.32</v>
      </c>
    </row>
    <row r="11" spans="1:5">
      <c r="A11" s="7">
        <v>2023</v>
      </c>
      <c r="B11" s="7">
        <v>225062.39</v>
      </c>
      <c r="C11" s="7">
        <v>0</v>
      </c>
      <c r="D11" s="7">
        <v>0</v>
      </c>
      <c r="E11" s="7">
        <f t="shared" ref="E11:E12" si="0">E10+B11</f>
        <v>368869.71</v>
      </c>
    </row>
    <row r="12" spans="1:5">
      <c r="A12" s="7">
        <v>2024</v>
      </c>
      <c r="B12" s="7">
        <v>553665.94999999995</v>
      </c>
      <c r="C12" s="7">
        <v>0</v>
      </c>
      <c r="D12" s="7">
        <v>0</v>
      </c>
      <c r="E12" s="7">
        <f t="shared" si="0"/>
        <v>922535.65999999992</v>
      </c>
    </row>
    <row r="13" spans="1:5">
      <c r="A13" s="7">
        <v>2025</v>
      </c>
      <c r="B13" s="7">
        <v>236500.48000000001</v>
      </c>
      <c r="C13" s="7">
        <v>141506.14000000001</v>
      </c>
      <c r="D13" s="7">
        <v>922530</v>
      </c>
      <c r="E13" s="7">
        <f>E12+B13-D13</f>
        <v>236506.1399999999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balance</vt:lpstr>
      <vt:lpstr>UTILIDADES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OPAUSTRO CIA. LTDA.</dc:creator>
  <cp:lastModifiedBy>OPAUSTRO CIA. LTDA.</cp:lastModifiedBy>
  <dcterms:created xsi:type="dcterms:W3CDTF">2026-09-18T22:13:45Z</dcterms:created>
  <dcterms:modified xsi:type="dcterms:W3CDTF">2026-09-28T03:14:15Z</dcterms:modified>
</cp:coreProperties>
</file>
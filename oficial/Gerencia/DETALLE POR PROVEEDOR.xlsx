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PAUSTRO/OPAUSTRO/TABLERRORS/"/>
    </mc:Choice>
  </mc:AlternateContent>
  <xr:revisionPtr revIDLastSave="237" documentId="8_{0430E75C-45C4-434B-A5FC-9A7906183C89}" xr6:coauthVersionLast="47" xr6:coauthVersionMax="47" xr10:uidLastSave="{D8D108E6-78A2-4FF5-ADFA-DB275EE9536A}"/>
  <bookViews>
    <workbookView xWindow="-120" yWindow="-120" windowWidth="21840" windowHeight="13020" xr2:uid="{648B2FA4-D191-4427-B2D8-D6C121F05EA1}"/>
  </bookViews>
  <sheets>
    <sheet name="POR LINEA" sheetId="1" r:id="rId1"/>
  </sheets>
  <definedNames>
    <definedName name="_xlnm._FilterDatabase" localSheetId="0" hidden="1">'POR LINEA'!$C$1:$E$25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0" i="1" l="1"/>
  <c r="E58" i="1"/>
  <c r="E57" i="1"/>
  <c r="E56" i="1"/>
  <c r="E59" i="1"/>
  <c r="E54" i="1"/>
  <c r="E34" i="1"/>
  <c r="E33" i="1"/>
  <c r="E37" i="1"/>
  <c r="E36" i="1"/>
  <c r="E32" i="1"/>
  <c r="E35" i="1"/>
  <c r="E12" i="1"/>
  <c r="E11" i="1"/>
  <c r="E10" i="1"/>
  <c r="E9" i="1"/>
  <c r="E8" i="1"/>
</calcChain>
</file>

<file path=xl/sharedStrings.xml><?xml version="1.0" encoding="utf-8"?>
<sst xmlns="http://schemas.openxmlformats.org/spreadsheetml/2006/main" count="221" uniqueCount="18">
  <si>
    <t>Suma de VentaNeta</t>
  </si>
  <si>
    <t>CELYASA</t>
  </si>
  <si>
    <t>PROVEEDOR</t>
  </si>
  <si>
    <t>DISPACIF</t>
  </si>
  <si>
    <t>MONDELEZ</t>
  </si>
  <si>
    <t>NIRSA</t>
  </si>
  <si>
    <t>DETALLE</t>
  </si>
  <si>
    <t>HPC</t>
  </si>
  <si>
    <t>ICE</t>
  </si>
  <si>
    <t>GASTOS</t>
  </si>
  <si>
    <t xml:space="preserve">VENTA DE BIENES </t>
  </si>
  <si>
    <t xml:space="preserve">COSTO DE VENTAS Y PRODUCCIÓN </t>
  </si>
  <si>
    <t xml:space="preserve">BONIFICACIÓN EN PRODUCTO </t>
  </si>
  <si>
    <t>MES</t>
  </si>
  <si>
    <t>AÑO</t>
  </si>
  <si>
    <t>ENERO</t>
  </si>
  <si>
    <t>FEBRERO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</si>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</sst>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69686D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  <xf numFmtId="0" fontId="2" fillId="0" borderId="0" xfId="0" applyFont="1" applyAlignment="1">
      <alignment horizontal="left" vertical="center"/>
    </xf>
    <xf numFmtId="0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EA3A-E1FE-485B-B71A-B3ECBB4FF369}">
  <dimension ref="A1:H73"/>
  <sheetViews>
    <sheetView tabSelected="1" workbookViewId="0"/>
  </sheetViews>
  <sheetFormatPr baseColWidth="10" defaultRowHeight="15" x14ac:dyDescent="0.25"/>
  <cols>
    <col min="3" max="3" width="28.7109375" bestFit="1" customWidth="1"/>
    <col min="4" max="4" width="28.42578125" bestFit="1" customWidth="1"/>
    <col min="5" max="5" width="22.140625" customWidth="1"/>
    <col min="8" max="8" width="38.140625" customWidth="1"/>
    <col min="9" max="9" width="12" bestFit="1" customWidth="1"/>
  </cols>
  <sheetData>
    <row r="1" spans="1:5" x14ac:dyDescent="0.25">
      <c r="A1" t="s">
        <v>14</v>
      </c>
      <c r="B1" t="s">
        <v>13</v>
      </c>
      <c r="C1" t="s">
        <v>2</v>
      </c>
      <c r="D1" t="s">
        <v>6</v>
      </c>
      <c r="E1" t="s">
        <v>0</v>
      </c>
    </row>
    <row r="2" spans="1:5" x14ac:dyDescent="0.25">
      <c r="A2">
        <v>2026</v>
      </c>
      <c r="B2" t="s">
        <v>15</v>
      </c>
      <c r="C2" t="s">
        <v>1</v>
      </c>
      <c r="D2" s="4" t="s">
        <v>10</v>
      </c>
      <c r="E2" s="3">
        <v>85495.516999998275</v>
      </c>
    </row>
    <row r="3" spans="1:5" x14ac:dyDescent="0.25">
      <c r="A3">
        <v>2026</v>
      </c>
      <c r="B3" t="s">
        <v>15</v>
      </c>
      <c r="C3" t="s">
        <v>3</v>
      </c>
      <c r="D3" s="4" t="s">
        <v>10</v>
      </c>
      <c r="E3" s="3">
        <v>92851.959499999793</v>
      </c>
    </row>
    <row r="4" spans="1:5" x14ac:dyDescent="0.25">
      <c r="A4">
        <v>2026</v>
      </c>
      <c r="B4" t="s">
        <v>15</v>
      </c>
      <c r="C4" t="s">
        <v>4</v>
      </c>
      <c r="D4" s="4" t="s">
        <v>10</v>
      </c>
      <c r="E4" s="3">
        <v>133348.79079999981</v>
      </c>
    </row>
    <row r="5" spans="1:5" x14ac:dyDescent="0.25">
      <c r="A5">
        <v>2026</v>
      </c>
      <c r="B5" t="s">
        <v>15</v>
      </c>
      <c r="C5" t="s">
        <v>5</v>
      </c>
      <c r="D5" s="4" t="s">
        <v>10</v>
      </c>
      <c r="E5" s="3">
        <v>249594.42229999453</v>
      </c>
    </row>
    <row r="6" spans="1:5" x14ac:dyDescent="0.25">
      <c r="A6">
        <v>2026</v>
      </c>
      <c r="B6" t="s">
        <v>15</v>
      </c>
      <c r="C6" t="s">
        <v>7</v>
      </c>
      <c r="D6" s="4" t="s">
        <v>10</v>
      </c>
      <c r="E6" s="3">
        <v>721989.16590005404</v>
      </c>
    </row>
    <row r="7" spans="1:5" x14ac:dyDescent="0.25">
      <c r="A7">
        <v>2026</v>
      </c>
      <c r="B7" t="s">
        <v>15</v>
      </c>
      <c r="C7" t="s">
        <v>8</v>
      </c>
      <c r="D7" s="4" t="s">
        <v>10</v>
      </c>
      <c r="E7" s="3">
        <v>189198.49</v>
      </c>
    </row>
    <row r="8" spans="1:5" x14ac:dyDescent="0.25">
      <c r="A8">
        <v>2026</v>
      </c>
      <c r="B8" t="s">
        <v>15</v>
      </c>
      <c r="C8" t="s">
        <v>1</v>
      </c>
      <c r="D8" s="4" t="s">
        <v>11</v>
      </c>
      <c r="E8" s="3">
        <f>82144.7541000007+1717.24-2117.49+518.22</f>
        <v>82262.724100000705</v>
      </c>
    </row>
    <row r="9" spans="1:5" x14ac:dyDescent="0.25">
      <c r="A9">
        <v>2026</v>
      </c>
      <c r="B9" t="s">
        <v>15</v>
      </c>
      <c r="C9" t="s">
        <v>3</v>
      </c>
      <c r="D9" s="4" t="s">
        <v>11</v>
      </c>
      <c r="E9" s="3">
        <f>86154.2921000005-7911.64+518.22</f>
        <v>78760.872100000503</v>
      </c>
    </row>
    <row r="10" spans="1:5" x14ac:dyDescent="0.25">
      <c r="A10">
        <v>2026</v>
      </c>
      <c r="B10" t="s">
        <v>15</v>
      </c>
      <c r="C10" t="s">
        <v>4</v>
      </c>
      <c r="D10" s="4" t="s">
        <v>11</v>
      </c>
      <c r="E10" s="3">
        <f>112394.047200008+9333.05-29058.37+518.22</f>
        <v>93186.947200008013</v>
      </c>
    </row>
    <row r="11" spans="1:5" x14ac:dyDescent="0.25">
      <c r="A11">
        <v>2026</v>
      </c>
      <c r="B11" t="s">
        <v>15</v>
      </c>
      <c r="C11" t="s">
        <v>5</v>
      </c>
      <c r="D11" s="4" t="s">
        <v>11</v>
      </c>
      <c r="E11" s="3">
        <f>242344.659800007-38629.6+518.22</f>
        <v>204233.279800007</v>
      </c>
    </row>
    <row r="12" spans="1:5" x14ac:dyDescent="0.25">
      <c r="A12">
        <v>2026</v>
      </c>
      <c r="B12" t="s">
        <v>15</v>
      </c>
      <c r="C12" t="s">
        <v>7</v>
      </c>
      <c r="D12" s="4" t="s">
        <v>11</v>
      </c>
      <c r="E12" s="3">
        <f>768336.29419995+1306.54-261994.86+518.22+518.22</f>
        <v>508684.41419994994</v>
      </c>
    </row>
    <row r="13" spans="1:5" x14ac:dyDescent="0.25">
      <c r="A13">
        <v>2026</v>
      </c>
      <c r="B13" t="s">
        <v>15</v>
      </c>
      <c r="C13" t="s">
        <v>8</v>
      </c>
      <c r="D13" s="4" t="s">
        <v>11</v>
      </c>
      <c r="E13" s="3">
        <v>156678.5</v>
      </c>
    </row>
    <row r="14" spans="1:5" x14ac:dyDescent="0.25">
      <c r="A14">
        <v>2026</v>
      </c>
      <c r="B14" t="s">
        <v>15</v>
      </c>
      <c r="C14" t="s">
        <v>1</v>
      </c>
      <c r="D14" s="4" t="s">
        <v>9</v>
      </c>
      <c r="E14" s="3">
        <v>10670.3213</v>
      </c>
    </row>
    <row r="15" spans="1:5" x14ac:dyDescent="0.25">
      <c r="A15">
        <v>2026</v>
      </c>
      <c r="B15" t="s">
        <v>15</v>
      </c>
      <c r="C15" t="s">
        <v>3</v>
      </c>
      <c r="D15" s="4" t="s">
        <v>9</v>
      </c>
      <c r="E15" s="3">
        <v>11697.601199999999</v>
      </c>
    </row>
    <row r="16" spans="1:5" x14ac:dyDescent="0.25">
      <c r="A16">
        <v>2026</v>
      </c>
      <c r="B16" t="s">
        <v>15</v>
      </c>
      <c r="C16" t="s">
        <v>4</v>
      </c>
      <c r="D16" s="4" t="s">
        <v>9</v>
      </c>
      <c r="E16" s="3">
        <v>23058.0075</v>
      </c>
    </row>
    <row r="17" spans="1:8" x14ac:dyDescent="0.25">
      <c r="A17">
        <v>2026</v>
      </c>
      <c r="B17" t="s">
        <v>15</v>
      </c>
      <c r="C17" t="s">
        <v>5</v>
      </c>
      <c r="D17" s="4" t="s">
        <v>9</v>
      </c>
      <c r="E17" s="3">
        <v>29808.748900000002</v>
      </c>
    </row>
    <row r="18" spans="1:8" x14ac:dyDescent="0.25">
      <c r="A18">
        <v>2026</v>
      </c>
      <c r="B18" t="s">
        <v>15</v>
      </c>
      <c r="C18" t="s">
        <v>7</v>
      </c>
      <c r="D18" s="4" t="s">
        <v>9</v>
      </c>
      <c r="E18" s="3">
        <v>119133.63</v>
      </c>
    </row>
    <row r="19" spans="1:8" x14ac:dyDescent="0.25">
      <c r="A19">
        <v>2026</v>
      </c>
      <c r="B19" t="s">
        <v>15</v>
      </c>
      <c r="C19" t="s">
        <v>8</v>
      </c>
      <c r="D19" s="4" t="s">
        <v>9</v>
      </c>
      <c r="E19" s="3">
        <v>37362.78</v>
      </c>
    </row>
    <row r="20" spans="1:8" x14ac:dyDescent="0.25">
      <c r="A20">
        <v>2026</v>
      </c>
      <c r="B20" t="s">
        <v>15</v>
      </c>
      <c r="C20" t="s">
        <v>1</v>
      </c>
      <c r="D20" s="4" t="s">
        <v>12</v>
      </c>
      <c r="E20" s="3">
        <v>0</v>
      </c>
      <c r="G20" s="1"/>
      <c r="H20" s="5"/>
    </row>
    <row r="21" spans="1:8" x14ac:dyDescent="0.25">
      <c r="A21">
        <v>2026</v>
      </c>
      <c r="B21" t="s">
        <v>15</v>
      </c>
      <c r="C21" t="s">
        <v>3</v>
      </c>
      <c r="D21" s="4" t="s">
        <v>12</v>
      </c>
      <c r="E21" s="3">
        <v>711.53110000000004</v>
      </c>
      <c r="G21" s="1"/>
      <c r="H21" s="5"/>
    </row>
    <row r="22" spans="1:8" x14ac:dyDescent="0.25">
      <c r="A22">
        <v>2026</v>
      </c>
      <c r="B22" t="s">
        <v>15</v>
      </c>
      <c r="C22" t="s">
        <v>4</v>
      </c>
      <c r="D22" s="4" t="s">
        <v>12</v>
      </c>
      <c r="E22" s="3">
        <v>2363.2370000000001</v>
      </c>
      <c r="G22" s="1"/>
      <c r="H22" s="5"/>
    </row>
    <row r="23" spans="1:8" x14ac:dyDescent="0.25">
      <c r="A23">
        <v>2026</v>
      </c>
      <c r="B23" t="s">
        <v>15</v>
      </c>
      <c r="C23" t="s">
        <v>5</v>
      </c>
      <c r="D23" s="4" t="s">
        <v>12</v>
      </c>
      <c r="E23" s="3">
        <v>4434.2187999999996</v>
      </c>
      <c r="G23" s="1"/>
      <c r="H23" s="5"/>
    </row>
    <row r="24" spans="1:8" x14ac:dyDescent="0.25">
      <c r="A24">
        <v>2026</v>
      </c>
      <c r="B24" t="s">
        <v>15</v>
      </c>
      <c r="C24" t="s">
        <v>7</v>
      </c>
      <c r="D24" s="4" t="s">
        <v>12</v>
      </c>
      <c r="E24" s="3">
        <v>32310.115500000007</v>
      </c>
    </row>
    <row r="25" spans="1:8" x14ac:dyDescent="0.25">
      <c r="A25">
        <v>2026</v>
      </c>
      <c r="B25" t="s">
        <v>15</v>
      </c>
      <c r="C25" t="s">
        <v>8</v>
      </c>
      <c r="D25" s="4" t="s">
        <v>12</v>
      </c>
      <c r="E25" s="3">
        <v>0</v>
      </c>
    </row>
    <row r="26" spans="1:8" x14ac:dyDescent="0.25">
      <c r="A26">
        <v>2026</v>
      </c>
      <c r="B26" t="s">
        <v>16</v>
      </c>
      <c r="C26" t="s">
        <v>1</v>
      </c>
      <c r="D26" s="4" t="s">
        <v>10</v>
      </c>
      <c r="E26" s="3">
        <v>77493.450099998765</v>
      </c>
    </row>
    <row r="27" spans="1:8" x14ac:dyDescent="0.25">
      <c r="A27">
        <v>2026</v>
      </c>
      <c r="B27" t="s">
        <v>16</v>
      </c>
      <c r="C27" t="s">
        <v>3</v>
      </c>
      <c r="D27" s="4" t="s">
        <v>10</v>
      </c>
      <c r="E27" s="3">
        <v>76674.18439999946</v>
      </c>
    </row>
    <row r="28" spans="1:8" x14ac:dyDescent="0.25">
      <c r="A28">
        <v>2026</v>
      </c>
      <c r="B28" t="s">
        <v>16</v>
      </c>
      <c r="C28" t="s">
        <v>4</v>
      </c>
      <c r="D28" s="4" t="s">
        <v>10</v>
      </c>
      <c r="E28" s="3">
        <v>145359.8761000009</v>
      </c>
    </row>
    <row r="29" spans="1:8" x14ac:dyDescent="0.25">
      <c r="A29">
        <v>2026</v>
      </c>
      <c r="B29" t="s">
        <v>16</v>
      </c>
      <c r="C29" t="s">
        <v>5</v>
      </c>
      <c r="D29" s="4" t="s">
        <v>10</v>
      </c>
      <c r="E29" s="3">
        <v>270902.51149999269</v>
      </c>
    </row>
    <row r="30" spans="1:8" x14ac:dyDescent="0.25">
      <c r="A30">
        <v>2026</v>
      </c>
      <c r="B30" t="s">
        <v>16</v>
      </c>
      <c r="C30" t="s">
        <v>7</v>
      </c>
      <c r="D30" s="4" t="s">
        <v>10</v>
      </c>
      <c r="E30" s="3">
        <v>662560.93030006299</v>
      </c>
    </row>
    <row r="31" spans="1:8" x14ac:dyDescent="0.25">
      <c r="A31">
        <v>2026</v>
      </c>
      <c r="B31" t="s">
        <v>16</v>
      </c>
      <c r="C31" t="s">
        <v>8</v>
      </c>
      <c r="D31" s="4" t="s">
        <v>10</v>
      </c>
      <c r="E31" s="3">
        <v>182425.68</v>
      </c>
    </row>
    <row r="32" spans="1:8" x14ac:dyDescent="0.25">
      <c r="A32">
        <v>2026</v>
      </c>
      <c r="B32" t="s">
        <v>16</v>
      </c>
      <c r="C32" t="s">
        <v>1</v>
      </c>
      <c r="D32" s="4" t="s">
        <v>11</v>
      </c>
      <c r="E32" s="3">
        <f>74105.82-10639.4+2144.48</f>
        <v>65610.900000000009</v>
      </c>
    </row>
    <row r="33" spans="1:5" x14ac:dyDescent="0.25">
      <c r="A33">
        <v>2026</v>
      </c>
      <c r="B33" t="s">
        <v>16</v>
      </c>
      <c r="C33" t="s">
        <v>3</v>
      </c>
      <c r="D33" s="4" t="s">
        <v>11</v>
      </c>
      <c r="E33" s="3">
        <f>71360.87-7336.23-22.71</f>
        <v>64001.93</v>
      </c>
    </row>
    <row r="34" spans="1:5" x14ac:dyDescent="0.25">
      <c r="A34">
        <v>2026</v>
      </c>
      <c r="B34" t="s">
        <v>16</v>
      </c>
      <c r="C34" t="s">
        <v>4</v>
      </c>
      <c r="D34" s="4" t="s">
        <v>11</v>
      </c>
      <c r="E34" s="3">
        <f>123152.46+13757.68</f>
        <v>136910.14000000001</v>
      </c>
    </row>
    <row r="35" spans="1:5" x14ac:dyDescent="0.25">
      <c r="A35">
        <v>2026</v>
      </c>
      <c r="B35" t="s">
        <v>16</v>
      </c>
      <c r="C35" t="s">
        <v>5</v>
      </c>
      <c r="D35" s="4" t="s">
        <v>11</v>
      </c>
      <c r="E35" s="3">
        <f>264713.36-35403.87</f>
        <v>229309.49</v>
      </c>
    </row>
    <row r="36" spans="1:5" x14ac:dyDescent="0.25">
      <c r="A36">
        <v>2026</v>
      </c>
      <c r="B36" t="s">
        <v>16</v>
      </c>
      <c r="C36" t="s">
        <v>7</v>
      </c>
      <c r="D36" s="4" t="s">
        <v>11</v>
      </c>
      <c r="E36" s="3">
        <f>718266.63-199857.49-71.44</f>
        <v>518337.7</v>
      </c>
    </row>
    <row r="37" spans="1:5" x14ac:dyDescent="0.25">
      <c r="A37">
        <v>2026</v>
      </c>
      <c r="B37" t="s">
        <v>16</v>
      </c>
      <c r="C37" t="s">
        <v>8</v>
      </c>
      <c r="D37" s="4" t="s">
        <v>11</v>
      </c>
      <c r="E37" s="3">
        <f>151210.75</f>
        <v>151210.75</v>
      </c>
    </row>
    <row r="38" spans="1:5" x14ac:dyDescent="0.25">
      <c r="A38">
        <v>2026</v>
      </c>
      <c r="B38" t="s">
        <v>16</v>
      </c>
      <c r="C38" t="s">
        <v>1</v>
      </c>
      <c r="D38" s="4" t="s">
        <v>9</v>
      </c>
      <c r="E38" s="3">
        <v>10531.8115</v>
      </c>
    </row>
    <row r="39" spans="1:5" x14ac:dyDescent="0.25">
      <c r="A39">
        <v>2026</v>
      </c>
      <c r="B39" t="s">
        <v>16</v>
      </c>
      <c r="C39" t="s">
        <v>3</v>
      </c>
      <c r="D39" s="4" t="s">
        <v>9</v>
      </c>
      <c r="E39" s="3">
        <v>11559.706</v>
      </c>
    </row>
    <row r="40" spans="1:5" x14ac:dyDescent="0.25">
      <c r="A40">
        <v>2026</v>
      </c>
      <c r="B40" t="s">
        <v>16</v>
      </c>
      <c r="C40" t="s">
        <v>4</v>
      </c>
      <c r="D40" s="4" t="s">
        <v>9</v>
      </c>
      <c r="E40" s="3">
        <v>22468.162499999999</v>
      </c>
    </row>
    <row r="41" spans="1:5" x14ac:dyDescent="0.25">
      <c r="A41">
        <v>2026</v>
      </c>
      <c r="B41" t="s">
        <v>16</v>
      </c>
      <c r="C41" t="s">
        <v>5</v>
      </c>
      <c r="D41" s="4" t="s">
        <v>9</v>
      </c>
      <c r="E41">
        <v>29646.756300000001</v>
      </c>
    </row>
    <row r="42" spans="1:5" x14ac:dyDescent="0.25">
      <c r="A42">
        <v>2026</v>
      </c>
      <c r="B42" t="s">
        <v>16</v>
      </c>
      <c r="C42" t="s">
        <v>7</v>
      </c>
      <c r="D42" s="4" t="s">
        <v>9</v>
      </c>
      <c r="E42" s="3">
        <v>115484.54</v>
      </c>
    </row>
    <row r="43" spans="1:5" x14ac:dyDescent="0.25">
      <c r="A43">
        <v>2026</v>
      </c>
      <c r="B43" t="s">
        <v>16</v>
      </c>
      <c r="C43" t="s">
        <v>8</v>
      </c>
      <c r="D43" s="4" t="s">
        <v>9</v>
      </c>
      <c r="E43" s="3">
        <v>39868.39</v>
      </c>
    </row>
    <row r="44" spans="1:5" x14ac:dyDescent="0.25">
      <c r="A44">
        <v>2026</v>
      </c>
      <c r="B44" t="s">
        <v>16</v>
      </c>
      <c r="C44" t="s">
        <v>1</v>
      </c>
      <c r="D44" s="4" t="s">
        <v>12</v>
      </c>
      <c r="E44" s="3">
        <v>0</v>
      </c>
    </row>
    <row r="45" spans="1:5" x14ac:dyDescent="0.25">
      <c r="A45">
        <v>2026</v>
      </c>
      <c r="B45" t="s">
        <v>16</v>
      </c>
      <c r="C45" t="s">
        <v>3</v>
      </c>
      <c r="D45" s="4" t="s">
        <v>12</v>
      </c>
      <c r="E45" s="3">
        <v>584.46839999999997</v>
      </c>
    </row>
    <row r="46" spans="1:5" x14ac:dyDescent="0.25">
      <c r="A46">
        <v>2026</v>
      </c>
      <c r="B46" t="s">
        <v>16</v>
      </c>
      <c r="C46" t="s">
        <v>4</v>
      </c>
      <c r="D46" s="4" t="s">
        <v>12</v>
      </c>
      <c r="E46" s="3">
        <v>3877.0530000000003</v>
      </c>
    </row>
    <row r="47" spans="1:5" x14ac:dyDescent="0.25">
      <c r="A47">
        <v>2026</v>
      </c>
      <c r="B47" t="s">
        <v>16</v>
      </c>
      <c r="C47" t="s">
        <v>5</v>
      </c>
      <c r="D47" s="4" t="s">
        <v>12</v>
      </c>
      <c r="E47" s="3">
        <v>7465.2200999999995</v>
      </c>
    </row>
    <row r="48" spans="1:5" x14ac:dyDescent="0.25">
      <c r="A48">
        <v>2026</v>
      </c>
      <c r="B48" t="s">
        <v>16</v>
      </c>
      <c r="C48" t="s">
        <v>7</v>
      </c>
      <c r="D48" s="4" t="s">
        <v>12</v>
      </c>
      <c r="E48" s="3">
        <v>19470.09</v>
      </c>
    </row>
    <row r="49" spans="1:5" x14ac:dyDescent="0.25">
      <c r="A49">
        <v>2026</v>
      </c>
      <c r="B49" t="s">
        <v>16</v>
      </c>
      <c r="C49" t="s">
        <v>8</v>
      </c>
      <c r="D49" s="4" t="s">
        <v>12</v>
      </c>
      <c r="E49" s="3">
        <v>0</v>
      </c>
    </row>
    <row r="50" spans="1:5" x14ac:dyDescent="0.25">
      <c r="A50">
        <v>2026</v>
      </c>
      <c r="B50" t="s">
        <v>17</v>
      </c>
      <c r="C50" t="s">
        <v>1</v>
      </c>
      <c r="D50" s="4" t="s">
        <v>10</v>
      </c>
      <c r="E50" s="3">
        <v>94603.869499997993</v>
      </c>
    </row>
    <row r="51" spans="1:5" x14ac:dyDescent="0.25">
      <c r="A51">
        <v>2026</v>
      </c>
      <c r="B51" t="s">
        <v>17</v>
      </c>
      <c r="C51" t="s">
        <v>3</v>
      </c>
      <c r="D51" s="4" t="s">
        <v>10</v>
      </c>
      <c r="E51" s="3">
        <v>95555.474599999463</v>
      </c>
    </row>
    <row r="52" spans="1:5" x14ac:dyDescent="0.25">
      <c r="A52">
        <v>2026</v>
      </c>
      <c r="B52" t="s">
        <v>17</v>
      </c>
      <c r="C52" t="s">
        <v>4</v>
      </c>
      <c r="D52" s="4" t="s">
        <v>10</v>
      </c>
      <c r="E52" s="3">
        <v>144129.24850000211</v>
      </c>
    </row>
    <row r="53" spans="1:5" x14ac:dyDescent="0.25">
      <c r="A53">
        <v>2026</v>
      </c>
      <c r="B53" t="s">
        <v>17</v>
      </c>
      <c r="C53" t="s">
        <v>5</v>
      </c>
      <c r="D53" s="4" t="s">
        <v>10</v>
      </c>
      <c r="E53" s="3">
        <v>269266.57749999734</v>
      </c>
    </row>
    <row r="54" spans="1:5" x14ac:dyDescent="0.25">
      <c r="A54">
        <v>2026</v>
      </c>
      <c r="B54" t="s">
        <v>17</v>
      </c>
      <c r="C54" t="s">
        <v>7</v>
      </c>
      <c r="D54" s="4" t="s">
        <v>10</v>
      </c>
      <c r="E54" s="3">
        <f>974682.21-E55</f>
        <v>743534.1</v>
      </c>
    </row>
    <row r="55" spans="1:5" x14ac:dyDescent="0.25">
      <c r="A55">
        <v>2026</v>
      </c>
      <c r="B55" t="s">
        <v>17</v>
      </c>
      <c r="C55" t="s">
        <v>8</v>
      </c>
      <c r="D55" s="4" t="s">
        <v>10</v>
      </c>
      <c r="E55" s="3">
        <v>231148.11</v>
      </c>
    </row>
    <row r="56" spans="1:5" x14ac:dyDescent="0.25">
      <c r="A56">
        <v>2026</v>
      </c>
      <c r="B56" t="s">
        <v>17</v>
      </c>
      <c r="C56" t="s">
        <v>1</v>
      </c>
      <c r="D56" s="4" t="s">
        <v>11</v>
      </c>
      <c r="E56" s="3">
        <f>92088.5200000013-3346.57-2139.59</f>
        <v>86602.360000001296</v>
      </c>
    </row>
    <row r="57" spans="1:5" x14ac:dyDescent="0.25">
      <c r="A57">
        <v>2026</v>
      </c>
      <c r="B57" t="s">
        <v>17</v>
      </c>
      <c r="C57" t="s">
        <v>3</v>
      </c>
      <c r="D57" s="4" t="s">
        <v>11</v>
      </c>
      <c r="E57" s="3">
        <f>88799.8219000021-10816.63+922.13</f>
        <v>78905.321900002105</v>
      </c>
    </row>
    <row r="58" spans="1:5" x14ac:dyDescent="0.25">
      <c r="A58">
        <v>2026</v>
      </c>
      <c r="B58" t="s">
        <v>17</v>
      </c>
      <c r="C58" t="s">
        <v>4</v>
      </c>
      <c r="D58" s="4" t="s">
        <v>11</v>
      </c>
      <c r="E58" s="3">
        <f>123453.409800006-6762.48+10903.29</f>
        <v>127594.21980000602</v>
      </c>
    </row>
    <row r="59" spans="1:5" x14ac:dyDescent="0.25">
      <c r="A59">
        <v>2026</v>
      </c>
      <c r="B59" t="s">
        <v>17</v>
      </c>
      <c r="C59" t="s">
        <v>5</v>
      </c>
      <c r="D59" s="4" t="s">
        <v>11</v>
      </c>
      <c r="E59" s="3">
        <f>258998.120700007-42993.07</f>
        <v>216005.05070000701</v>
      </c>
    </row>
    <row r="60" spans="1:5" x14ac:dyDescent="0.25">
      <c r="A60">
        <v>2026</v>
      </c>
      <c r="B60" t="s">
        <v>17</v>
      </c>
      <c r="C60" t="s">
        <v>7</v>
      </c>
      <c r="D60" s="4" t="s">
        <v>11</v>
      </c>
      <c r="E60" s="2">
        <f>798347.403900013-205278.21+3798.55</f>
        <v>596867.74390001304</v>
      </c>
    </row>
    <row r="61" spans="1:5" x14ac:dyDescent="0.25">
      <c r="A61">
        <v>2026</v>
      </c>
      <c r="B61" t="s">
        <v>17</v>
      </c>
      <c r="C61" t="s">
        <v>8</v>
      </c>
      <c r="D61" s="4" t="s">
        <v>11</v>
      </c>
      <c r="E61" s="3">
        <v>192704.66</v>
      </c>
    </row>
    <row r="62" spans="1:5" x14ac:dyDescent="0.25">
      <c r="A62">
        <v>2026</v>
      </c>
      <c r="B62" t="s">
        <v>17</v>
      </c>
      <c r="C62" t="s">
        <v>1</v>
      </c>
      <c r="D62" s="4" t="s">
        <v>9</v>
      </c>
      <c r="E62" s="3">
        <v>10557.191500000001</v>
      </c>
    </row>
    <row r="63" spans="1:5" x14ac:dyDescent="0.25">
      <c r="A63">
        <v>2026</v>
      </c>
      <c r="B63" t="s">
        <v>17</v>
      </c>
      <c r="C63" t="s">
        <v>3</v>
      </c>
      <c r="D63" s="4" t="s">
        <v>9</v>
      </c>
      <c r="E63" s="3">
        <v>11532.108</v>
      </c>
    </row>
    <row r="64" spans="1:5" x14ac:dyDescent="0.25">
      <c r="A64">
        <v>2026</v>
      </c>
      <c r="B64" t="s">
        <v>17</v>
      </c>
      <c r="C64" t="s">
        <v>4</v>
      </c>
      <c r="D64" s="4" t="s">
        <v>9</v>
      </c>
      <c r="E64" s="3">
        <v>23677.612500000003</v>
      </c>
    </row>
    <row r="65" spans="1:5" x14ac:dyDescent="0.25">
      <c r="A65">
        <v>2026</v>
      </c>
      <c r="B65" t="s">
        <v>17</v>
      </c>
      <c r="C65" t="s">
        <v>5</v>
      </c>
      <c r="D65" s="4" t="s">
        <v>9</v>
      </c>
      <c r="E65">
        <v>28823.721600000004</v>
      </c>
    </row>
    <row r="66" spans="1:5" x14ac:dyDescent="0.25">
      <c r="A66">
        <v>2026</v>
      </c>
      <c r="B66" t="s">
        <v>17</v>
      </c>
      <c r="C66" t="s">
        <v>7</v>
      </c>
      <c r="D66" s="4" t="s">
        <v>9</v>
      </c>
      <c r="E66" s="3">
        <v>111472.32000000001</v>
      </c>
    </row>
    <row r="67" spans="1:5" x14ac:dyDescent="0.25">
      <c r="A67">
        <v>2026</v>
      </c>
      <c r="B67" t="s">
        <v>17</v>
      </c>
      <c r="C67" t="s">
        <v>8</v>
      </c>
      <c r="D67" s="4" t="s">
        <v>9</v>
      </c>
      <c r="E67" s="3">
        <v>41922.99</v>
      </c>
    </row>
    <row r="68" spans="1:5" x14ac:dyDescent="0.25">
      <c r="A68">
        <v>2026</v>
      </c>
      <c r="B68" t="s">
        <v>17</v>
      </c>
      <c r="C68" t="s">
        <v>1</v>
      </c>
      <c r="D68" s="4" t="s">
        <v>12</v>
      </c>
      <c r="E68" s="3">
        <v>0</v>
      </c>
    </row>
    <row r="69" spans="1:5" x14ac:dyDescent="0.25">
      <c r="A69">
        <v>2026</v>
      </c>
      <c r="B69" t="s">
        <v>17</v>
      </c>
      <c r="C69" t="s">
        <v>3</v>
      </c>
      <c r="D69" s="4" t="s">
        <v>12</v>
      </c>
      <c r="E69" s="3">
        <v>736.35030000000006</v>
      </c>
    </row>
    <row r="70" spans="1:5" x14ac:dyDescent="0.25">
      <c r="A70">
        <v>2026</v>
      </c>
      <c r="B70" t="s">
        <v>17</v>
      </c>
      <c r="C70" t="s">
        <v>4</v>
      </c>
      <c r="D70" s="4" t="s">
        <v>12</v>
      </c>
      <c r="E70" s="3">
        <v>5370.5995000000012</v>
      </c>
    </row>
    <row r="71" spans="1:5" x14ac:dyDescent="0.25">
      <c r="A71">
        <v>2026</v>
      </c>
      <c r="B71" t="s">
        <v>17</v>
      </c>
      <c r="C71" t="s">
        <v>5</v>
      </c>
      <c r="D71" s="4" t="s">
        <v>12</v>
      </c>
      <c r="E71" s="3">
        <v>6051.3029999999999</v>
      </c>
    </row>
    <row r="72" spans="1:5" x14ac:dyDescent="0.25">
      <c r="A72">
        <v>2026</v>
      </c>
      <c r="B72" t="s">
        <v>17</v>
      </c>
      <c r="C72" t="s">
        <v>7</v>
      </c>
      <c r="D72" s="4" t="s">
        <v>12</v>
      </c>
      <c r="E72" s="3">
        <v>17917.3999</v>
      </c>
    </row>
    <row r="73" spans="1:5" x14ac:dyDescent="0.25">
      <c r="A73">
        <v>2026</v>
      </c>
      <c r="B73" t="s">
        <v>17</v>
      </c>
      <c r="C73" t="s">
        <v>8</v>
      </c>
      <c r="D73" s="4" t="s">
        <v>12</v>
      </c>
      <c r="E73" s="3">
        <v>0</v>
      </c>
    </row>
  </sheetData>
  <autoFilter ref="C1:E25" xr:uid="{1A73EA3A-E1FE-485B-B71A-B3ECBB4FF3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LINEA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OPAUSTRO CIA. LTDA.</dc:creator>
  <cp:lastModifiedBy>OPAUSTRO CIA. LTDA.</cp:lastModifiedBy>
  <dcterms:created xsi:type="dcterms:W3CDTF">2026-09-22T23:51:09Z</dcterms:created>
  <dcterms:modified xsi:type="dcterms:W3CDTF">2026-09-24T14:22:21Z</dcterms:modified>
</cp:coreProperties>
</file>
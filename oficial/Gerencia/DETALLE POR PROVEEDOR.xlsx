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284" documentId="8_{0430E75C-45C4-434B-A5FC-9A7906183C89}" xr6:coauthVersionLast="47" xr6:coauthVersionMax="47" xr10:uidLastSave="{4570BD71-0F1D-4D02-9A1C-7169883CB82E}"/>
  <bookViews>
    <workbookView xWindow="-120" yWindow="-120" windowWidth="21840" windowHeight="13020" xr2:uid="{648B2FA4-D191-4427-B2D8-D6C121F05EA1}"/>
  </bookViews>
  <sheets>
    <sheet name="POR LINEA" sheetId="1" r:id="rId1"/>
    <sheet name="Hoja2" sheetId="3" r:id="rId2"/>
    <sheet name="Hoja1" sheetId="2" r:id="rId3"/>
  </sheets>
  <definedNames>
    <definedName name="_xlnm._FilterDatabase" localSheetId="2" hidden="1">Hoja1!$A$1:$L$191</definedName>
    <definedName name="_xlnm._FilterDatabase" localSheetId="0" hidden="1">'POR LINEA'!$C$1:$E$25</definedName>
  </definedNames>
  <calcPr calcId="191029"/>
  <pivotCaches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3" i="1" l="1"/>
  <c r="E82" i="1"/>
  <c r="E81" i="1"/>
  <c r="E60" i="1"/>
  <c r="E58" i="1"/>
  <c r="E57" i="1"/>
  <c r="E56" i="1"/>
  <c r="E59" i="1"/>
  <c r="E54" i="1"/>
  <c r="E34" i="1"/>
  <c r="E33" i="1"/>
  <c r="E37" i="1"/>
  <c r="E36" i="1"/>
  <c r="E32" i="1"/>
  <c r="E35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<sst xmlns="http://schemas.openxmlformats.org/spreadsheetml/2006/main" count="1080" uniqueCount="290">
  <si>
    <t>Suma de VentaNeta</t>
  </si>
  <si>
    <t>CELYASA</t>
  </si>
  <si>
    <t>PROVEEDOR</t>
  </si>
  <si>
    <t>DISPACIF</t>
  </si>
  <si>
    <t>MONDELEZ</t>
  </si>
  <si>
    <t>NIRSA</t>
  </si>
  <si>
    <t>DETALLE</t>
  </si>
  <si>
    <t>HPC</t>
  </si>
  <si>
    <t>ICE</t>
  </si>
  <si>
    <t>GASTOS</t>
  </si>
  <si>
    <t xml:space="preserve">VENTA DE BIENES </t>
  </si>
  <si>
    <t xml:space="preserve">COSTO DE VENTAS Y PRODUCCIÓN </t>
  </si>
  <si>
    <t xml:space="preserve">BONIFICACIÓN EN PRODUCTO </t>
  </si>
  <si>
    <t>MES</t>
  </si>
  <si>
    <t>AÑO</t>
  </si>
  <si>
    <t>ENERO</t>
  </si>
  <si>
    <t>FEBRERO</t>
  </si>
  <si>
    <t>MARZO</t>
  </si>
  <si>
    <t>ABRIL</t>
  </si>
  <si>
    <t>RUC_EMISOR</t>
  </si>
  <si>
    <t>RAZON_SOCIAL_EMISOR</t>
  </si>
  <si>
    <t>TIPO_COMPROBANTE</t>
  </si>
  <si>
    <t>SERIE_COMPROBANTE</t>
  </si>
  <si>
    <t>CLAVE_ACCESO</t>
  </si>
  <si>
    <t>FECHA_AUTORIZACION</t>
  </si>
  <si>
    <t>FECHA_EMISION</t>
  </si>
  <si>
    <t>IDENTIFICACION_RECEPTOR</t>
  </si>
  <si>
    <t>VALOR_SIN_IMPUESTOS</t>
  </si>
  <si>
    <t>IVA</t>
  </si>
  <si>
    <t>IMPORTE_TOTAL</t>
  </si>
  <si>
    <t>NUMERO_DOCUMENTO_MODIFICADO</t>
  </si>
  <si>
    <t>UNILEVER ANDINA ECUADOR S.A.</t>
  </si>
  <si>
    <t>Nota de Crédito</t>
  </si>
  <si>
    <t>001-006-000311272</t>
  </si>
  <si>
    <t>013-002-000350556</t>
  </si>
  <si>
    <t>001-006-000311261</t>
  </si>
  <si>
    <t>013-002-000350118</t>
  </si>
  <si>
    <t>001-006-000311260</t>
  </si>
  <si>
    <t>001-006-000311230</t>
  </si>
  <si>
    <t>013-002-000350114</t>
  </si>
  <si>
    <t>001-006-000311228</t>
  </si>
  <si>
    <t>MONDELEZ ECUADOR C. LTDA.</t>
  </si>
  <si>
    <t>003-005-001259402</t>
  </si>
  <si>
    <t>003-005-001555898</t>
  </si>
  <si>
    <t>001-006-000311282</t>
  </si>
  <si>
    <t>013-002-000350590</t>
  </si>
  <si>
    <t>001-006-000311240</t>
  </si>
  <si>
    <t>013-002-000350111</t>
  </si>
  <si>
    <t>001-006-000311239</t>
  </si>
  <si>
    <t>001-006-000311232</t>
  </si>
  <si>
    <t>013-002-000350115</t>
  </si>
  <si>
    <t>001-006-000311229</t>
  </si>
  <si>
    <t>001-006-000311231</t>
  </si>
  <si>
    <t>001-006-000311259</t>
  </si>
  <si>
    <t>013-002-000350117</t>
  </si>
  <si>
    <t>001-006-000311273</t>
  </si>
  <si>
    <t>013-002-000350589</t>
  </si>
  <si>
    <t>NIRSA S.A.</t>
  </si>
  <si>
    <t>002-010-000015121</t>
  </si>
  <si>
    <t>002-010-000043523</t>
  </si>
  <si>
    <t>001-006-000311329</t>
  </si>
  <si>
    <t>013-002-000350672</t>
  </si>
  <si>
    <t>001-006-000311318</t>
  </si>
  <si>
    <t>013-002-000350678</t>
  </si>
  <si>
    <t>DISTRIBUIDORA DISPACIF SA</t>
  </si>
  <si>
    <t>003-021-000021428</t>
  </si>
  <si>
    <t>003-021-000045658</t>
  </si>
  <si>
    <t>003-021-000021429</t>
  </si>
  <si>
    <t>003-021-000045659</t>
  </si>
  <si>
    <t>001-027-000039882</t>
  </si>
  <si>
    <t>001-006-000311374</t>
  </si>
  <si>
    <t>013-002-000350647</t>
  </si>
  <si>
    <t>CORPORACION ECUATORIANA DE LICORES Y ALIMENTOS S.A. CELYASA</t>
  </si>
  <si>
    <t>009-110-000005471</t>
  </si>
  <si>
    <t>009-100-000118590</t>
  </si>
  <si>
    <t>003-021-000021442</t>
  </si>
  <si>
    <t>003-021-000045726</t>
  </si>
  <si>
    <t>003-021-000021441</t>
  </si>
  <si>
    <t>003-021-000021443</t>
  </si>
  <si>
    <t>007-003-000074607</t>
  </si>
  <si>
    <t>007-003-000871630</t>
  </si>
  <si>
    <t>001-006-000311489</t>
  </si>
  <si>
    <t>009-110-000005507</t>
  </si>
  <si>
    <t>001-006-000311506</t>
  </si>
  <si>
    <t>001-006-000311490</t>
  </si>
  <si>
    <t>001-006-000311476</t>
  </si>
  <si>
    <t>001-006-000311505</t>
  </si>
  <si>
    <t>001-006-000311522</t>
  </si>
  <si>
    <t>001-006-000311521</t>
  </si>
  <si>
    <t>001-006-000311502</t>
  </si>
  <si>
    <t>003-021-000021501</t>
  </si>
  <si>
    <t>003-021-000045542</t>
  </si>
  <si>
    <t>001-006-000311507</t>
  </si>
  <si>
    <t>001-006-000311531</t>
  </si>
  <si>
    <t>001-006-000311477</t>
  </si>
  <si>
    <t>003-021-000021505</t>
  </si>
  <si>
    <t>003-021-000045724</t>
  </si>
  <si>
    <t>001-006-000311501</t>
  </si>
  <si>
    <t>001-006-000311532</t>
  </si>
  <si>
    <t>003-021-000021507</t>
  </si>
  <si>
    <t>003-021-000045729</t>
  </si>
  <si>
    <t>001-006-000311560</t>
  </si>
  <si>
    <t>013-002-000351547</t>
  </si>
  <si>
    <t>001-006-000311562</t>
  </si>
  <si>
    <t>013-002-000351548</t>
  </si>
  <si>
    <t>001-006-000311559</t>
  </si>
  <si>
    <t>001-006-000311561</t>
  </si>
  <si>
    <t>001-006-000311662</t>
  </si>
  <si>
    <t>001-006-000311627</t>
  </si>
  <si>
    <t>001-006-000311661</t>
  </si>
  <si>
    <t>001-006-000311629</t>
  </si>
  <si>
    <t>001-006-000311767</t>
  </si>
  <si>
    <t>001-006-000311730</t>
  </si>
  <si>
    <t>001-006-000311788</t>
  </si>
  <si>
    <t>002-010-000015176</t>
  </si>
  <si>
    <t>002-010-000043780</t>
  </si>
  <si>
    <t>001-006-000311765</t>
  </si>
  <si>
    <t>001-006-000311708</t>
  </si>
  <si>
    <t>001-006-000311701</t>
  </si>
  <si>
    <t>003-021-000021536</t>
  </si>
  <si>
    <t>003-021-000045803</t>
  </si>
  <si>
    <t>001-006-000311804</t>
  </si>
  <si>
    <t>013-002-000351610</t>
  </si>
  <si>
    <t>001-006-000311802</t>
  </si>
  <si>
    <t>013-002-000351606</t>
  </si>
  <si>
    <t>001-006-000311728</t>
  </si>
  <si>
    <t>001-006-000311787</t>
  </si>
  <si>
    <t>001-006-000311789</t>
  </si>
  <si>
    <t>001-006-000311682</t>
  </si>
  <si>
    <t>001-006-000311683</t>
  </si>
  <si>
    <t>001-006-000311766</t>
  </si>
  <si>
    <t>001-006-000311700</t>
  </si>
  <si>
    <t>001-006-000311729</t>
  </si>
  <si>
    <t>001-006-000311707</t>
  </si>
  <si>
    <t>001-006-000311709</t>
  </si>
  <si>
    <t>001-006-000311663</t>
  </si>
  <si>
    <t>001-006-000311628</t>
  </si>
  <si>
    <t>001-006-000311803</t>
  </si>
  <si>
    <t>001-006-000311801</t>
  </si>
  <si>
    <t>013-002-000351608</t>
  </si>
  <si>
    <t>001-006-000311827</t>
  </si>
  <si>
    <t>001-006-000311864</t>
  </si>
  <si>
    <t>013-002-000349244</t>
  </si>
  <si>
    <t>001-006-000311863</t>
  </si>
  <si>
    <t>013-002-000348802</t>
  </si>
  <si>
    <t>001-006-000311862</t>
  </si>
  <si>
    <t>001-006-000311865</t>
  </si>
  <si>
    <t>001-027-000040163</t>
  </si>
  <si>
    <t>003-021-000021555</t>
  </si>
  <si>
    <t>003-021-000021556</t>
  </si>
  <si>
    <t>003-021-000021557</t>
  </si>
  <si>
    <t>001-006-000311998</t>
  </si>
  <si>
    <t>007-004-000076783</t>
  </si>
  <si>
    <t>007-003-000870667</t>
  </si>
  <si>
    <t>007-004-000076685</t>
  </si>
  <si>
    <t>001-006-000311975</t>
  </si>
  <si>
    <t>001-006-000311997</t>
  </si>
  <si>
    <t>001-006-000311964</t>
  </si>
  <si>
    <t>007-004-000076785</t>
  </si>
  <si>
    <t>007-003-000869780</t>
  </si>
  <si>
    <t>001-006-000312024</t>
  </si>
  <si>
    <t>007-004-000076626</t>
  </si>
  <si>
    <t>007-004-000076624</t>
  </si>
  <si>
    <t>007-004-000076541</t>
  </si>
  <si>
    <t>001-006-000311962</t>
  </si>
  <si>
    <t>001-006-000311999</t>
  </si>
  <si>
    <t>007-003-000074669</t>
  </si>
  <si>
    <t>007-003-000873918</t>
  </si>
  <si>
    <t>007-004-000076587</t>
  </si>
  <si>
    <t>007-004-000076712</t>
  </si>
  <si>
    <t>007-004-000076784</t>
  </si>
  <si>
    <t>007-003-000868795</t>
  </si>
  <si>
    <t>001-006-000311963</t>
  </si>
  <si>
    <t>001-006-000311994</t>
  </si>
  <si>
    <t>001-006-000312025</t>
  </si>
  <si>
    <t>001-006-000312023</t>
  </si>
  <si>
    <t>007-004-000076645</t>
  </si>
  <si>
    <t>007-004-000076566</t>
  </si>
  <si>
    <t>001-006-000311927</t>
  </si>
  <si>
    <t>007-004-000076580</t>
  </si>
  <si>
    <t>001-006-000311938</t>
  </si>
  <si>
    <t>003-021-000021577</t>
  </si>
  <si>
    <t>003-021-000045765</t>
  </si>
  <si>
    <t>003-021-000021581</t>
  </si>
  <si>
    <t>003-021-000045766</t>
  </si>
  <si>
    <t>003-021-000021575</t>
  </si>
  <si>
    <t>003-021-000045795</t>
  </si>
  <si>
    <t>003-021-000021580</t>
  </si>
  <si>
    <t>003-021-000021578</t>
  </si>
  <si>
    <t>003-021-000021576</t>
  </si>
  <si>
    <t>003-021-000045796</t>
  </si>
  <si>
    <t>003-021-000021579</t>
  </si>
  <si>
    <t>001-006-000312123</t>
  </si>
  <si>
    <t>013-002-000352059</t>
  </si>
  <si>
    <t>001-006-000312125</t>
  </si>
  <si>
    <t>013-002-000352066</t>
  </si>
  <si>
    <t>001-006-000312131</t>
  </si>
  <si>
    <t>013-002-000352063</t>
  </si>
  <si>
    <t>001-006-000312033</t>
  </si>
  <si>
    <t>001-006-000312028</t>
  </si>
  <si>
    <t>001-006-000312124</t>
  </si>
  <si>
    <t>013-002-000352065</t>
  </si>
  <si>
    <t>007-004-000076837</t>
  </si>
  <si>
    <t>001-006-000312061</t>
  </si>
  <si>
    <t>001-006-000312060</t>
  </si>
  <si>
    <t>003-021-000021672</t>
  </si>
  <si>
    <t>003-021-000045537</t>
  </si>
  <si>
    <t>003-021-000021681</t>
  </si>
  <si>
    <t>003-021-000045539</t>
  </si>
  <si>
    <t>003-021-000021677</t>
  </si>
  <si>
    <t>003-021-000045405</t>
  </si>
  <si>
    <t>003-021-000021673</t>
  </si>
  <si>
    <t>003-021-000045426</t>
  </si>
  <si>
    <t>003-021-000021671</t>
  </si>
  <si>
    <t>003-021-000045366</t>
  </si>
  <si>
    <t>003-021-000021682</t>
  </si>
  <si>
    <t>003-021-000045541</t>
  </si>
  <si>
    <t>003-021-000021678</t>
  </si>
  <si>
    <t>003-021-000021668</t>
  </si>
  <si>
    <t>003-021-000045613</t>
  </si>
  <si>
    <t>003-021-000021674</t>
  </si>
  <si>
    <t>003-021-000045427</t>
  </si>
  <si>
    <t>003-021-000021676</t>
  </si>
  <si>
    <t>003-021-000021667</t>
  </si>
  <si>
    <t>003-021-000021675</t>
  </si>
  <si>
    <t>003-021-000021670</t>
  </si>
  <si>
    <t>003-021-000021679</t>
  </si>
  <si>
    <t>003-021-000021669</t>
  </si>
  <si>
    <t>003-021-000021680</t>
  </si>
  <si>
    <t>003-005-001259901</t>
  </si>
  <si>
    <t>003-005-001554379</t>
  </si>
  <si>
    <t>003-005-001259861</t>
  </si>
  <si>
    <t>003-005-001260052</t>
  </si>
  <si>
    <t>003-005-001555227</t>
  </si>
  <si>
    <t>003-005-001260050</t>
  </si>
  <si>
    <t>003-005-001260049</t>
  </si>
  <si>
    <t>003-021-000021696</t>
  </si>
  <si>
    <t>003-021-000045858</t>
  </si>
  <si>
    <t>001-006-000312269</t>
  </si>
  <si>
    <t>013-002-000349719</t>
  </si>
  <si>
    <t>007-004-000076926</t>
  </si>
  <si>
    <t>001-006-000312137</t>
  </si>
  <si>
    <t>001-006-000312268</t>
  </si>
  <si>
    <t>003-005-001260048</t>
  </si>
  <si>
    <t>003-021-000021697</t>
  </si>
  <si>
    <t>003-021-000045854</t>
  </si>
  <si>
    <t>007-004-000076971</t>
  </si>
  <si>
    <t>003-005-001260051</t>
  </si>
  <si>
    <t>001-006-000312151</t>
  </si>
  <si>
    <t>001-006-000312149</t>
  </si>
  <si>
    <t>001-006-000312276</t>
  </si>
  <si>
    <t>013-002-000342180</t>
  </si>
  <si>
    <t>001-006-000312366</t>
  </si>
  <si>
    <t>001-006-000312316</t>
  </si>
  <si>
    <t>007-004-000077001</t>
  </si>
  <si>
    <t>001-006-000312388</t>
  </si>
  <si>
    <t>001-006-000312382</t>
  </si>
  <si>
    <t>001-006-000312371</t>
  </si>
  <si>
    <t>001-006-000312364</t>
  </si>
  <si>
    <t>001-006-000312315</t>
  </si>
  <si>
    <t>001-006-000312368</t>
  </si>
  <si>
    <t>001-006-000312374</t>
  </si>
  <si>
    <t>001-006-000312373</t>
  </si>
  <si>
    <t>001-006-000312499</t>
  </si>
  <si>
    <t>003-021-000021746</t>
  </si>
  <si>
    <t>003-021-000045856</t>
  </si>
  <si>
    <t>003-005-001260110</t>
  </si>
  <si>
    <t>003-005-001556114</t>
  </si>
  <si>
    <t>003-021-000021748</t>
  </si>
  <si>
    <t>003-021-000021743</t>
  </si>
  <si>
    <t>001-006-000312498</t>
  </si>
  <si>
    <t>001-006-000312549</t>
  </si>
  <si>
    <t>001-006-000312679</t>
  </si>
  <si>
    <t>001-006-000312548</t>
  </si>
  <si>
    <t>003-021-000021749</t>
  </si>
  <si>
    <t>003-021-000021750</t>
  </si>
  <si>
    <t>003-021-000045872</t>
  </si>
  <si>
    <t>003-021-000021744</t>
  </si>
  <si>
    <t>001-006-000312636</t>
  </si>
  <si>
    <t>003-005-001260171</t>
  </si>
  <si>
    <t>001-006-000312684</t>
  </si>
  <si>
    <t>001-006-000312516</t>
  </si>
  <si>
    <t>001-006-000312517</t>
  </si>
  <si>
    <t>003-021-000021745</t>
  </si>
  <si>
    <t>003-021-000021747</t>
  </si>
  <si>
    <t>002-010-000015232</t>
  </si>
  <si>
    <t>002-010-000043979</t>
  </si>
  <si>
    <t>Etiquetas de fila</t>
  </si>
  <si>
    <t>Total general</t>
  </si>
  <si>
    <t>Suma de VALOR_SIN_IMPUESTOS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</si>
</sst>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9686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  <xf numFmtId="0" fontId="2" fillId="0" borderId="0" xfId="0" applyFont="1" applyAlignment="1">
      <alignment horizontal="left" vertical="center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AUSTRO CIA. LTDA." refreshedDate="46289.423774537034" createdVersion="8" refreshedVersion="8" minRefreshableVersion="3" recordCount="190" xr:uid="{60143BEA-0226-44E9-A111-4C552C696009}">
  <cacheSource type="worksheet">
    <worksheetSource ref="A1:L191" sheet="Hoja1"/>
  </cacheSource>
  <cacheFields count="12">
    <cacheField name="RUC_EMISOR" numFmtId="0">
      <sharedItems containsSemiMixedTypes="0" containsString="0" containsNumber="1" containsInteger="1" minValue="190096467001" maxValue="1791321596001"/>
    </cacheField>
    <cacheField name="RAZON_SOCIAL_EMISOR" numFmtId="0">
      <sharedItems count="6">
        <s v="UNILEVER ANDINA ECUADOR S.A."/>
        <s v="MONDELEZ ECUADOR C. LTDA."/>
        <s v="NIRSA S.A."/>
        <s v="DISTRIBUIDORA DISPACIF SA"/>
        <s v="CORPORACION ECUATORIANA DE LICORES Y ALIMENTOS S.A. CELYASA"/>
        <s v="ICE"/>
      </sharedItems>
    </cacheField>
    <cacheField name="TIPO_COMPROBANTE" numFmtId="0">
      <sharedItems/>
    </cacheField>
    <cacheField name="SERIE_COMPROBANTE" numFmtId="0">
      <sharedItems/>
    </cacheField>
    <cacheField name="CLAVE_ACCESO" numFmtId="0">
      <sharedItems containsSemiMixedTypes="0" containsString="0" containsNumber="1" containsInteger="1" minValue="1.04202604099033E+47" maxValue="2.9042026040989999E+48"/>
    </cacheField>
    <cacheField name="FECHA_AUTORIZACION" numFmtId="22">
      <sharedItems containsSemiMixedTypes="0" containsNonDate="0" containsDate="1" containsString="0" minDate="2026-04-01T10:17:15" maxDate="2026-04-29T16:34:45"/>
    </cacheField>
    <cacheField name="FECHA_EMISION" numFmtId="14">
      <sharedItems containsSemiMixedTypes="0" containsNonDate="0" containsDate="1" containsString="0" minDate="2026-04-01T00:00:00" maxDate="2026-04-30T00:00:00"/>
    </cacheField>
    <cacheField name="IDENTIFICACION_RECEPTOR" numFmtId="0">
      <sharedItems containsSemiMixedTypes="0" containsString="0" containsNumber="1" containsInteger="1" minValue="190401685001" maxValue="190401685001"/>
    </cacheField>
    <cacheField name="VALOR_SIN_IMPUESTOS" numFmtId="0">
      <sharedItems containsSemiMixedTypes="0" containsString="0" containsNumber="1" minValue="7.0000000000000007E-2" maxValue="18764.59"/>
    </cacheField>
    <cacheField name="IVA" numFmtId="0">
      <sharedItems containsSemiMixedTypes="0" containsString="0" containsNumber="1" minValue="0" maxValue="2814.69"/>
    </cacheField>
    <cacheField name="IMPORTE_TOTAL" numFmtId="0">
      <sharedItems containsNonDate="0" containsString="0" containsBlank="1"/>
    </cacheField>
    <cacheField name="NUMERO_DOCUMENTO_MODIFICAD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">
  <r>
    <n v="1791321596001"/>
    <x v="0"/>
    <s v="Nota de Crédito"/>
    <s v="001-006-000311272"/>
    <n v="1.0420260417913201E+47"/>
    <d v="2026-04-01T12:19:32"/>
    <d v="2026-04-01T00:00:00"/>
    <n v="190401685001"/>
    <n v="21.48"/>
    <n v="3.22"/>
    <m/>
    <s v="013-002-000350556"/>
  </r>
  <r>
    <n v="1791321596001"/>
    <x v="0"/>
    <s v="Nota de Crédito"/>
    <s v="001-006-000311261"/>
    <n v="1.0420260417913201E+47"/>
    <d v="2026-04-01T12:19:31"/>
    <d v="2026-04-01T00:00:00"/>
    <n v="190401685001"/>
    <n v="63.61"/>
    <n v="9.5399999999999991"/>
    <m/>
    <s v="013-002-000350118"/>
  </r>
  <r>
    <n v="1791321596001"/>
    <x v="0"/>
    <s v="Nota de Crédito"/>
    <s v="001-006-000311260"/>
    <n v="1.0420260417913201E+47"/>
    <d v="2026-04-01T12:19:33"/>
    <d v="2026-04-01T00:00:00"/>
    <n v="190401685001"/>
    <n v="64.45"/>
    <n v="9.67"/>
    <m/>
    <s v="013-002-000350118"/>
  </r>
  <r>
    <n v="1791321596001"/>
    <x v="0"/>
    <s v="Nota de Crédito"/>
    <s v="001-006-000311230"/>
    <n v="1.0420260417913201E+47"/>
    <d v="2026-04-01T10:17:15"/>
    <d v="2026-04-01T00:00:00"/>
    <n v="190401685001"/>
    <n v="12.72"/>
    <n v="1.91"/>
    <m/>
    <s v="013-002-000350114"/>
  </r>
  <r>
    <n v="1791321596001"/>
    <x v="0"/>
    <s v="Nota de Crédito"/>
    <s v="001-006-000311228"/>
    <n v="1.0420260417913201E+47"/>
    <d v="2026-04-01T10:17:21"/>
    <d v="2026-04-01T00:00:00"/>
    <n v="190401685001"/>
    <n v="109.06"/>
    <n v="16.36"/>
    <m/>
    <s v="013-002-000350114"/>
  </r>
  <r>
    <n v="990335028001"/>
    <x v="1"/>
    <s v="Nota de Crédito"/>
    <s v="003-005-001259402"/>
    <n v="1.04202604099033E+47"/>
    <d v="2026-04-01T18:15:10"/>
    <d v="2026-04-01T00:00:00"/>
    <n v="190401685001"/>
    <n v="100.31"/>
    <n v="15.05"/>
    <m/>
    <s v="003-005-001555898"/>
  </r>
  <r>
    <n v="1791321596001"/>
    <x v="0"/>
    <s v="Nota de Crédito"/>
    <s v="001-006-000311282"/>
    <n v="1.0420260417913201E+47"/>
    <d v="2026-04-01T12:37:50"/>
    <d v="2026-04-01T00:00:00"/>
    <n v="190401685001"/>
    <n v="22.54"/>
    <n v="3.38"/>
    <m/>
    <s v="013-002-000350590"/>
  </r>
  <r>
    <n v="1791321596001"/>
    <x v="0"/>
    <s v="Nota de Crédito"/>
    <s v="001-006-000311240"/>
    <n v="1.0420260417913201E+47"/>
    <d v="2026-04-01T10:17:15"/>
    <d v="2026-04-01T00:00:00"/>
    <n v="190401685001"/>
    <n v="124.37"/>
    <n v="18.649999999999999"/>
    <m/>
    <s v="013-002-000350111"/>
  </r>
  <r>
    <n v="1791321596001"/>
    <x v="0"/>
    <s v="Nota de Crédito"/>
    <s v="001-006-000311239"/>
    <n v="1.0420260417913201E+47"/>
    <d v="2026-04-01T10:17:19"/>
    <d v="2026-04-01T00:00:00"/>
    <n v="190401685001"/>
    <n v="50.88"/>
    <n v="7.62"/>
    <m/>
    <s v="013-002-000350111"/>
  </r>
  <r>
    <n v="1791321596001"/>
    <x v="0"/>
    <s v="Nota de Crédito"/>
    <s v="001-006-000311232"/>
    <n v="1.0420260417913201E+47"/>
    <d v="2026-04-01T10:17:25"/>
    <d v="2026-04-01T00:00:00"/>
    <n v="190401685001"/>
    <n v="41.82"/>
    <n v="6.27"/>
    <m/>
    <s v="013-002-000350115"/>
  </r>
  <r>
    <n v="1791321596001"/>
    <x v="0"/>
    <s v="Nota de Crédito"/>
    <s v="001-006-000311229"/>
    <n v="1.0420260417913201E+47"/>
    <d v="2026-04-01T10:17:23"/>
    <d v="2026-04-01T00:00:00"/>
    <n v="190401685001"/>
    <n v="16.96"/>
    <n v="2.54"/>
    <m/>
    <s v="013-002-000350114"/>
  </r>
  <r>
    <n v="1791321596001"/>
    <x v="0"/>
    <s v="Nota de Crédito"/>
    <s v="001-006-000311231"/>
    <n v="1.0420260417913201E+47"/>
    <d v="2026-04-01T10:17:20"/>
    <d v="2026-04-01T00:00:00"/>
    <n v="190401685001"/>
    <n v="48.59"/>
    <n v="7.29"/>
    <m/>
    <s v="013-002-000350115"/>
  </r>
  <r>
    <n v="1791321596001"/>
    <x v="0"/>
    <s v="Nota de Crédito"/>
    <s v="001-006-000311259"/>
    <n v="1.0420260417913201E+47"/>
    <d v="2026-04-01T12:19:31"/>
    <d v="2026-04-01T00:00:00"/>
    <n v="190401685001"/>
    <n v="76.23"/>
    <n v="11.44"/>
    <m/>
    <s v="013-002-000350117"/>
  </r>
  <r>
    <n v="1791321596001"/>
    <x v="0"/>
    <s v="Nota de Crédito"/>
    <s v="001-006-000311273"/>
    <n v="1.0420260417913201E+47"/>
    <d v="2026-04-01T12:19:32"/>
    <d v="2026-04-01T00:00:00"/>
    <n v="190401685001"/>
    <n v="72.900000000000006"/>
    <n v="10.94"/>
    <m/>
    <s v="013-002-000350589"/>
  </r>
  <r>
    <n v="990007020001"/>
    <x v="2"/>
    <s v="Nota de Crédito"/>
    <s v="002-010-000015121"/>
    <n v="2.0420260409899999E+47"/>
    <d v="2026-04-02T13:26:08"/>
    <d v="2026-04-02T00:00:00"/>
    <n v="190401685001"/>
    <n v="52.09"/>
    <n v="0"/>
    <m/>
    <s v="002-010-000043523"/>
  </r>
  <r>
    <n v="1791321596001"/>
    <x v="0"/>
    <s v="Nota de Crédito"/>
    <s v="001-006-000311329"/>
    <n v="2.0420260417913201E+47"/>
    <d v="2026-04-02T12:36:37"/>
    <d v="2026-04-02T00:00:00"/>
    <n v="190401685001"/>
    <n v="468.03"/>
    <n v="70.209999999999994"/>
    <m/>
    <s v="013-002-000350672"/>
  </r>
  <r>
    <n v="1791321596001"/>
    <x v="0"/>
    <s v="Nota de Crédito"/>
    <s v="001-006-000311318"/>
    <n v="2.0420260417913201E+47"/>
    <d v="2026-04-02T11:00:32"/>
    <d v="2026-04-02T00:00:00"/>
    <n v="190401685001"/>
    <n v="127.11"/>
    <n v="19.07"/>
    <m/>
    <s v="013-002-000350678"/>
  </r>
  <r>
    <n v="990501750001"/>
    <x v="3"/>
    <s v="Nota de Crédito"/>
    <s v="003-021-000021428"/>
    <n v="6.0420260409904998E+47"/>
    <d v="2026-04-06T10:36:28"/>
    <d v="2026-04-06T00:00:00"/>
    <n v="190401685001"/>
    <n v="25.11"/>
    <n v="3.77"/>
    <m/>
    <s v="003-021-000045658"/>
  </r>
  <r>
    <n v="990501750001"/>
    <x v="3"/>
    <s v="Nota de Crédito"/>
    <s v="003-021-000021429"/>
    <n v="6.0420260409904998E+47"/>
    <d v="2026-04-06T10:36:29"/>
    <d v="2026-04-06T00:00:00"/>
    <n v="190401685001"/>
    <n v="25.11"/>
    <n v="3.77"/>
    <m/>
    <s v="003-021-000045659"/>
  </r>
  <r>
    <n v="990007020001"/>
    <x v="2"/>
    <s v="Nota de Crédito"/>
    <s v="001-027-000039882"/>
    <n v="7.0420260409900001E+47"/>
    <d v="2026-04-07T10:12:19"/>
    <d v="2026-04-07T00:00:00"/>
    <n v="190401685001"/>
    <n v="2536.54"/>
    <n v="0"/>
    <m/>
    <s v="002-010-000043523"/>
  </r>
  <r>
    <n v="1791321596001"/>
    <x v="0"/>
    <s v="Nota de Crédito"/>
    <s v="001-006-000311374"/>
    <n v="8.04202604179132E+47"/>
    <d v="2026-04-08T15:24:50"/>
    <d v="2026-04-08T00:00:00"/>
    <n v="190401685001"/>
    <n v="107.34"/>
    <n v="16.100000000000001"/>
    <m/>
    <s v="013-002-000350647"/>
  </r>
  <r>
    <n v="190096467001"/>
    <x v="4"/>
    <s v="Nota de Crédito"/>
    <s v="009-110-000005471"/>
    <n v="9.0420260401900895E+47"/>
    <d v="2026-04-09T08:38:32"/>
    <d v="2026-04-09T00:00:00"/>
    <n v="190401685001"/>
    <n v="785.29"/>
    <n v="117.79"/>
    <m/>
    <s v="009-100-000118590"/>
  </r>
  <r>
    <n v="990501750001"/>
    <x v="3"/>
    <s v="Nota de Crédito"/>
    <s v="003-021-000021442"/>
    <n v="1.30420260409905E+48"/>
    <d v="2026-04-13T08:12:11"/>
    <d v="2026-04-13T00:00:00"/>
    <n v="190401685001"/>
    <n v="4.03"/>
    <n v="0"/>
    <m/>
    <s v="003-021-000045726"/>
  </r>
  <r>
    <n v="990501750001"/>
    <x v="3"/>
    <s v="Nota de Crédito"/>
    <s v="003-021-000021441"/>
    <n v="1.30420260409905E+48"/>
    <d v="2026-04-13T08:11:25"/>
    <d v="2026-04-13T00:00:00"/>
    <n v="190401685001"/>
    <n v="15.83"/>
    <n v="2.37"/>
    <m/>
    <s v="003-021-000045726"/>
  </r>
  <r>
    <n v="990501750001"/>
    <x v="3"/>
    <s v="Nota de Crédito"/>
    <s v="003-021-000021443"/>
    <n v="1.30420260409905E+48"/>
    <d v="2026-04-13T08:12:57"/>
    <d v="2026-04-13T00:00:00"/>
    <n v="190401685001"/>
    <n v="7.89"/>
    <n v="1.18"/>
    <m/>
    <s v="003-021-000045726"/>
  </r>
  <r>
    <n v="1791321596001"/>
    <x v="5"/>
    <s v="Nota de Crédito"/>
    <s v="007-003-000074607"/>
    <n v="1.4042026041791301E+48"/>
    <d v="2026-04-14T14:22:58"/>
    <d v="2026-04-14T00:00:00"/>
    <n v="190401685001"/>
    <n v="36.14"/>
    <n v="5.42"/>
    <m/>
    <s v="007-003-000871630"/>
  </r>
  <r>
    <n v="1791321596001"/>
    <x v="0"/>
    <s v="Nota de Crédito"/>
    <s v="001-006-000311489"/>
    <n v="1.5042026041791298E+48"/>
    <d v="2026-04-15T11:51:23"/>
    <d v="2026-04-15T00:00:00"/>
    <n v="190401685001"/>
    <n v="0.4"/>
    <n v="0.06"/>
    <m/>
    <s v="013-002-000350672"/>
  </r>
  <r>
    <n v="190096467001"/>
    <x v="4"/>
    <s v="Nota de Crédito"/>
    <s v="009-110-000005507"/>
    <n v="1.5042026040190001E+48"/>
    <d v="2026-04-15T13:09:02"/>
    <d v="2026-04-15T00:00:00"/>
    <n v="190401685001"/>
    <n v="2039.22"/>
    <n v="305.88"/>
    <m/>
    <s v="009-100-000118590"/>
  </r>
  <r>
    <n v="1791321596001"/>
    <x v="0"/>
    <s v="Nota de Crédito"/>
    <s v="001-006-000311506"/>
    <n v="1.5042026041791298E+48"/>
    <d v="2026-04-15T12:06:50"/>
    <d v="2026-04-15T00:00:00"/>
    <n v="190401685001"/>
    <n v="576.51"/>
    <n v="86.48"/>
    <m/>
    <s v="013-002-000350672"/>
  </r>
  <r>
    <n v="1791321596001"/>
    <x v="0"/>
    <s v="Nota de Crédito"/>
    <s v="001-006-000311490"/>
    <n v="1.5042026041791298E+48"/>
    <d v="2026-04-15T11:52:31"/>
    <d v="2026-04-15T00:00:00"/>
    <n v="190401685001"/>
    <n v="0.8"/>
    <n v="0.12"/>
    <m/>
    <s v="013-002-000350647"/>
  </r>
  <r>
    <n v="1791321596001"/>
    <x v="0"/>
    <s v="Nota de Crédito"/>
    <s v="001-006-000311476"/>
    <n v="1.5042026041791298E+48"/>
    <d v="2026-04-15T11:39:54"/>
    <d v="2026-04-15T00:00:00"/>
    <n v="190401685001"/>
    <n v="3.76"/>
    <n v="0.56000000000000005"/>
    <m/>
    <s v="013-002-000350556"/>
  </r>
  <r>
    <n v="1791321596001"/>
    <x v="0"/>
    <s v="Nota de Crédito"/>
    <s v="001-006-000311505"/>
    <n v="1.5042026041791298E+48"/>
    <d v="2026-04-15T12:05:42"/>
    <d v="2026-04-15T00:00:00"/>
    <n v="190401685001"/>
    <n v="2293.48"/>
    <n v="344.02"/>
    <m/>
    <s v="013-002-000350556"/>
  </r>
  <r>
    <n v="1791321596001"/>
    <x v="0"/>
    <s v="Nota de Crédito"/>
    <s v="001-006-000311522"/>
    <n v="1.5042026041791298E+48"/>
    <d v="2026-04-15T12:21:03"/>
    <d v="2026-04-15T00:00:00"/>
    <n v="190401685001"/>
    <n v="328"/>
    <n v="49.2"/>
    <m/>
    <s v="013-002-000350647"/>
  </r>
  <r>
    <n v="1791321596001"/>
    <x v="0"/>
    <s v="Nota de Crédito"/>
    <s v="001-006-000311521"/>
    <n v="1.5042026041791298E+48"/>
    <d v="2026-04-15T12:20:27"/>
    <d v="2026-04-15T00:00:00"/>
    <n v="190401685001"/>
    <n v="642.5"/>
    <n v="96.38"/>
    <m/>
    <s v="013-002-000350672"/>
  </r>
  <r>
    <n v="1791321596001"/>
    <x v="0"/>
    <s v="Nota de Crédito"/>
    <s v="001-006-000311502"/>
    <n v="1.5042026041791298E+48"/>
    <d v="2026-04-15T12:02:39"/>
    <d v="2026-04-15T00:00:00"/>
    <n v="190401685001"/>
    <n v="2.79"/>
    <n v="0.42"/>
    <m/>
    <s v="013-002-000350647"/>
  </r>
  <r>
    <n v="990501750001"/>
    <x v="3"/>
    <s v="Nota de Crédito"/>
    <s v="003-021-000021501"/>
    <n v="1.50420260409905E+48"/>
    <d v="2026-04-15T12:03:00"/>
    <d v="2026-04-15T00:00:00"/>
    <n v="190401685001"/>
    <n v="33"/>
    <n v="0"/>
    <m/>
    <s v="003-021-000045542"/>
  </r>
  <r>
    <n v="1791321596001"/>
    <x v="0"/>
    <s v="Nota de Crédito"/>
    <s v="001-006-000311507"/>
    <n v="1.5042026041791298E+48"/>
    <d v="2026-04-15T12:07:28"/>
    <d v="2026-04-15T00:00:00"/>
    <n v="190401685001"/>
    <n v="1594.47"/>
    <n v="239.17"/>
    <m/>
    <s v="013-002-000350672"/>
  </r>
  <r>
    <n v="1791321596001"/>
    <x v="0"/>
    <s v="Nota de Crédito"/>
    <s v="001-006-000311531"/>
    <n v="1.5042026041791298E+48"/>
    <d v="2026-04-15T12:30:20"/>
    <d v="2026-04-15T00:00:00"/>
    <n v="190401685001"/>
    <n v="27"/>
    <n v="4.05"/>
    <m/>
    <s v="013-002-000350647"/>
  </r>
  <r>
    <n v="1791321596001"/>
    <x v="0"/>
    <s v="Nota de Crédito"/>
    <s v="001-006-000311477"/>
    <n v="1.5042026041791298E+48"/>
    <d v="2026-04-15T11:41:03"/>
    <d v="2026-04-15T00:00:00"/>
    <n v="190401685001"/>
    <n v="20.61"/>
    <n v="3.09"/>
    <m/>
    <s v="013-002-000350111"/>
  </r>
  <r>
    <n v="990501750001"/>
    <x v="3"/>
    <s v="Nota de Crédito"/>
    <s v="003-021-000021505"/>
    <n v="1.50420260409905E+48"/>
    <d v="2026-04-15T12:57:45"/>
    <d v="2026-04-15T00:00:00"/>
    <n v="190401685001"/>
    <n v="16.62"/>
    <n v="2.4900000000000002"/>
    <m/>
    <s v="003-021-000045724"/>
  </r>
  <r>
    <n v="1791321596001"/>
    <x v="0"/>
    <s v="Nota de Crédito"/>
    <s v="001-006-000311501"/>
    <n v="1.5042026041791298E+48"/>
    <d v="2026-04-15T12:02:22"/>
    <d v="2026-04-15T00:00:00"/>
    <n v="190401685001"/>
    <n v="2.33"/>
    <n v="0.35"/>
    <m/>
    <s v="013-002-000350672"/>
  </r>
  <r>
    <n v="1791321596001"/>
    <x v="0"/>
    <s v="Nota de Crédito"/>
    <s v="001-006-000311532"/>
    <n v="1.5042026041791298E+48"/>
    <d v="2026-04-15T12:31:18"/>
    <d v="2026-04-15T00:00:00"/>
    <n v="190401685001"/>
    <n v="39.200000000000003"/>
    <n v="5.88"/>
    <m/>
    <s v="013-002-000350672"/>
  </r>
  <r>
    <n v="990501750001"/>
    <x v="3"/>
    <s v="Nota de Crédito"/>
    <s v="003-021-000021507"/>
    <n v="1.50420260409905E+48"/>
    <d v="2026-04-15T13:06:49"/>
    <d v="2026-04-15T00:00:00"/>
    <n v="190401685001"/>
    <n v="277.39999999999998"/>
    <n v="0"/>
    <m/>
    <s v="003-021-000045729"/>
  </r>
  <r>
    <n v="1791321596001"/>
    <x v="0"/>
    <s v="Nota de Crédito"/>
    <s v="001-006-000311560"/>
    <n v="1.6042026041791299E+48"/>
    <d v="2026-04-16T14:04:09"/>
    <d v="2026-04-16T00:00:00"/>
    <n v="190401685001"/>
    <n v="37.4"/>
    <n v="5.61"/>
    <m/>
    <s v="013-002-000351547"/>
  </r>
  <r>
    <n v="1791321596001"/>
    <x v="0"/>
    <s v="Nota de Crédito"/>
    <s v="001-006-000311562"/>
    <n v="1.6042026041791299E+48"/>
    <d v="2026-04-16T14:04:12"/>
    <d v="2026-04-16T00:00:00"/>
    <n v="190401685001"/>
    <n v="67.599999999999994"/>
    <n v="10.15"/>
    <m/>
    <s v="013-002-000351548"/>
  </r>
  <r>
    <n v="1791321596001"/>
    <x v="0"/>
    <s v="Nota de Crédito"/>
    <s v="001-006-000311559"/>
    <n v="1.6042026041791299E+48"/>
    <d v="2026-04-16T14:04:09"/>
    <d v="2026-04-16T00:00:00"/>
    <n v="190401685001"/>
    <n v="3.93"/>
    <n v="0.59"/>
    <m/>
    <s v="013-002-000351547"/>
  </r>
  <r>
    <n v="1791321596001"/>
    <x v="0"/>
    <s v="Nota de Crédito"/>
    <s v="001-006-000311561"/>
    <n v="1.6042026041791299E+48"/>
    <d v="2026-04-16T14:04:08"/>
    <d v="2026-04-16T00:00:00"/>
    <n v="190401685001"/>
    <n v="21.2"/>
    <n v="3.18"/>
    <m/>
    <s v="013-002-000351548"/>
  </r>
  <r>
    <n v="1791321596001"/>
    <x v="0"/>
    <s v="Nota de Crédito"/>
    <s v="001-006-000311662"/>
    <n v="1.70420260417913E+48"/>
    <d v="2026-04-20T10:09:51"/>
    <d v="2026-04-17T00:00:00"/>
    <n v="190401685001"/>
    <n v="4631.32"/>
    <n v="694.7"/>
    <m/>
    <s v="013-002-000350672"/>
  </r>
  <r>
    <n v="1791321596001"/>
    <x v="0"/>
    <s v="Nota de Crédito"/>
    <s v="001-006-000311627"/>
    <n v="1.70420260417913E+48"/>
    <d v="2026-04-20T10:06:29"/>
    <d v="2026-04-17T00:00:00"/>
    <n v="190401685001"/>
    <n v="397.62"/>
    <n v="59.64"/>
    <m/>
    <s v="013-002-000350672"/>
  </r>
  <r>
    <n v="1791321596001"/>
    <x v="0"/>
    <s v="Nota de Crédito"/>
    <s v="001-006-000311661"/>
    <n v="1.70420260417913E+48"/>
    <d v="2026-04-20T10:09:51"/>
    <d v="2026-04-17T00:00:00"/>
    <n v="190401685001"/>
    <n v="4628.9799999999996"/>
    <n v="694.35"/>
    <m/>
    <s v="013-002-000350647"/>
  </r>
  <r>
    <n v="1791321596001"/>
    <x v="0"/>
    <s v="Nota de Crédito"/>
    <s v="001-006-000311629"/>
    <n v="1.70420260417913E+48"/>
    <d v="2026-04-20T10:06:30"/>
    <d v="2026-04-17T00:00:00"/>
    <n v="190401685001"/>
    <n v="433.25"/>
    <n v="64.989999999999995"/>
    <m/>
    <s v="013-002-000350647"/>
  </r>
  <r>
    <n v="1791321596001"/>
    <x v="0"/>
    <s v="Nota de Crédito"/>
    <s v="001-006-000311767"/>
    <n v="1.70420260417913E+48"/>
    <d v="2026-04-17T04:32:25"/>
    <d v="2026-04-17T00:00:00"/>
    <n v="190401685001"/>
    <n v="5440.69"/>
    <n v="816.1"/>
    <m/>
    <s v="013-002-000350672"/>
  </r>
  <r>
    <n v="1791321596001"/>
    <x v="0"/>
    <s v="Nota de Crédito"/>
    <s v="001-006-000311730"/>
    <n v="1.70420260417913E+48"/>
    <d v="2026-04-17T03:33:16"/>
    <d v="2026-04-17T00:00:00"/>
    <n v="190401685001"/>
    <n v="1142.56"/>
    <n v="171.38"/>
    <m/>
    <s v="013-002-000350672"/>
  </r>
  <r>
    <n v="1791321596001"/>
    <x v="0"/>
    <s v="Nota de Crédito"/>
    <s v="001-006-000311788"/>
    <n v="1.70420260417913E+48"/>
    <d v="2026-04-17T05:10:41"/>
    <d v="2026-04-17T00:00:00"/>
    <n v="190401685001"/>
    <n v="3214.79"/>
    <n v="482.22"/>
    <m/>
    <s v="013-002-000350672"/>
  </r>
  <r>
    <n v="990007020001"/>
    <x v="2"/>
    <s v="Nota de Crédito"/>
    <s v="002-010-000015176"/>
    <n v="1.7042026040989999E+48"/>
    <d v="2026-04-17T10:26:20"/>
    <d v="2026-04-17T00:00:00"/>
    <n v="190401685001"/>
    <n v="52.09"/>
    <n v="0"/>
    <m/>
    <s v="002-010-000043780"/>
  </r>
  <r>
    <n v="1791321596001"/>
    <x v="0"/>
    <s v="Nota de Crédito"/>
    <s v="001-006-000311765"/>
    <n v="1.70420260417913E+48"/>
    <d v="2026-04-17T04:29:32"/>
    <d v="2026-04-17T00:00:00"/>
    <n v="190401685001"/>
    <n v="11393.66"/>
    <n v="1709.05"/>
    <m/>
    <s v="013-002-000350647"/>
  </r>
  <r>
    <n v="1791321596001"/>
    <x v="0"/>
    <s v="Nota de Crédito"/>
    <s v="001-006-000311708"/>
    <n v="1.70420260417913E+48"/>
    <d v="2026-04-17T03:00:10"/>
    <d v="2026-04-17T00:00:00"/>
    <n v="190401685001"/>
    <n v="1210.2"/>
    <n v="181.53"/>
    <m/>
    <s v="013-002-000350672"/>
  </r>
  <r>
    <n v="1791321596001"/>
    <x v="0"/>
    <s v="Nota de Crédito"/>
    <s v="001-006-000311701"/>
    <n v="1.70420260417913E+48"/>
    <d v="2026-04-17T02:51:14"/>
    <d v="2026-04-17T00:00:00"/>
    <n v="190401685001"/>
    <n v="312"/>
    <n v="46.8"/>
    <m/>
    <s v="013-002-000350111"/>
  </r>
  <r>
    <n v="990501750001"/>
    <x v="3"/>
    <s v="Nota de Crédito"/>
    <s v="003-021-000021536"/>
    <n v="1.7042026040990499E+48"/>
    <d v="2026-04-17T17:04:15"/>
    <d v="2026-04-17T00:00:00"/>
    <n v="190401685001"/>
    <n v="713.32"/>
    <n v="0"/>
    <m/>
    <s v="003-021-000045803"/>
  </r>
  <r>
    <n v="1791321596001"/>
    <x v="0"/>
    <s v="Nota de Crédito"/>
    <s v="001-006-000311804"/>
    <n v="1.70420260417913E+48"/>
    <d v="2026-04-17T12:43:23"/>
    <d v="2026-04-17T00:00:00"/>
    <n v="190401685001"/>
    <n v="51.05"/>
    <n v="7.66"/>
    <m/>
    <s v="013-002-000351610"/>
  </r>
  <r>
    <n v="1791321596001"/>
    <x v="0"/>
    <s v="Nota de Crédito"/>
    <s v="001-006-000311802"/>
    <n v="1.70420260417913E+48"/>
    <d v="2026-04-17T12:22:56"/>
    <d v="2026-04-17T00:00:00"/>
    <n v="190401685001"/>
    <n v="75.34"/>
    <n v="11.31"/>
    <m/>
    <s v="013-002-000351606"/>
  </r>
  <r>
    <n v="1791321596001"/>
    <x v="0"/>
    <s v="Nota de Crédito"/>
    <s v="001-006-000311728"/>
    <n v="1.70420260417913E+48"/>
    <d v="2026-04-17T03:31:07"/>
    <d v="2026-04-17T00:00:00"/>
    <n v="190401685001"/>
    <n v="1161.92"/>
    <n v="174.29"/>
    <m/>
    <s v="013-002-000350647"/>
  </r>
  <r>
    <n v="1791321596001"/>
    <x v="0"/>
    <s v="Nota de Crédito"/>
    <s v="001-006-000311787"/>
    <n v="1.70420260417913E+48"/>
    <d v="2026-04-17T05:09:04"/>
    <d v="2026-04-17T00:00:00"/>
    <n v="190401685001"/>
    <n v="6355.71"/>
    <n v="953.36"/>
    <m/>
    <s v="013-002-000350647"/>
  </r>
  <r>
    <n v="1791321596001"/>
    <x v="0"/>
    <s v="Nota de Crédito"/>
    <s v="001-006-000311789"/>
    <n v="1.70420260417913E+48"/>
    <d v="2026-04-17T05:12:30"/>
    <d v="2026-04-17T00:00:00"/>
    <n v="190401685001"/>
    <n v="4102.97"/>
    <n v="615.45000000000005"/>
    <m/>
    <s v="013-002-000350672"/>
  </r>
  <r>
    <n v="1791321596001"/>
    <x v="0"/>
    <s v="Nota de Crédito"/>
    <s v="001-006-000311682"/>
    <n v="1.70420260417913E+48"/>
    <d v="2026-04-17T01:56:07"/>
    <d v="2026-04-17T00:00:00"/>
    <n v="190401685001"/>
    <n v="315.73"/>
    <n v="47.36"/>
    <m/>
    <s v="013-002-000350556"/>
  </r>
  <r>
    <n v="1791321596001"/>
    <x v="0"/>
    <s v="Nota de Crédito"/>
    <s v="001-006-000311683"/>
    <n v="1.70420260417913E+48"/>
    <d v="2026-04-17T01:56:37"/>
    <d v="2026-04-17T00:00:00"/>
    <n v="190401685001"/>
    <n v="196.75"/>
    <n v="29.51"/>
    <m/>
    <s v="013-002-000350111"/>
  </r>
  <r>
    <n v="1791321596001"/>
    <x v="0"/>
    <s v="Nota de Crédito"/>
    <s v="001-006-000311766"/>
    <n v="1.70420260417913E+48"/>
    <d v="2026-04-17T04:30:50"/>
    <d v="2026-04-17T00:00:00"/>
    <n v="190401685001"/>
    <n v="5411.57"/>
    <n v="811.74"/>
    <m/>
    <s v="013-002-000350672"/>
  </r>
  <r>
    <n v="1791321596001"/>
    <x v="0"/>
    <s v="Nota de Crédito"/>
    <s v="001-006-000311700"/>
    <n v="1.70420260417913E+48"/>
    <d v="2026-04-17T02:51:14"/>
    <d v="2026-04-17T00:00:00"/>
    <n v="190401685001"/>
    <n v="598"/>
    <n v="89.7"/>
    <m/>
    <s v="013-002-000350556"/>
  </r>
  <r>
    <n v="1791321596001"/>
    <x v="0"/>
    <s v="Nota de Crédito"/>
    <s v="001-006-000311729"/>
    <n v="1.70420260417913E+48"/>
    <d v="2026-04-17T03:32:28"/>
    <d v="2026-04-17T00:00:00"/>
    <n v="190401685001"/>
    <n v="890.4"/>
    <n v="133.56"/>
    <m/>
    <s v="013-002-000350672"/>
  </r>
  <r>
    <n v="1791321596001"/>
    <x v="0"/>
    <s v="Nota de Crédito"/>
    <s v="001-006-000311707"/>
    <n v="1.70420260417913E+48"/>
    <d v="2026-04-17T03:00:03"/>
    <d v="2026-04-17T00:00:00"/>
    <n v="190401685001"/>
    <n v="902.32"/>
    <n v="135.35"/>
    <m/>
    <s v="013-002-000350672"/>
  </r>
  <r>
    <n v="1791321596001"/>
    <x v="0"/>
    <s v="Nota de Crédito"/>
    <s v="001-006-000311709"/>
    <n v="1.70420260417913E+48"/>
    <d v="2026-04-17T03:08:31"/>
    <d v="2026-04-17T00:00:00"/>
    <n v="190401685001"/>
    <n v="817.34"/>
    <n v="122.6"/>
    <m/>
    <s v="013-002-000350647"/>
  </r>
  <r>
    <n v="1791321596001"/>
    <x v="0"/>
    <s v="Nota de Crédito"/>
    <s v="001-006-000311663"/>
    <n v="1.70420260417913E+48"/>
    <d v="2026-04-20T10:09:51"/>
    <d v="2026-04-17T00:00:00"/>
    <n v="190401685001"/>
    <n v="5836.94"/>
    <n v="875.54"/>
    <m/>
    <s v="013-002-000350672"/>
  </r>
  <r>
    <n v="1791321596001"/>
    <x v="0"/>
    <s v="Nota de Crédito"/>
    <s v="001-006-000311628"/>
    <n v="1.70420260417913E+48"/>
    <d v="2026-04-20T10:06:29"/>
    <d v="2026-04-17T00:00:00"/>
    <n v="190401685001"/>
    <n v="431.37"/>
    <n v="64.709999999999994"/>
    <m/>
    <s v="013-002-000350672"/>
  </r>
  <r>
    <n v="1791321596001"/>
    <x v="0"/>
    <s v="Nota de Crédito"/>
    <s v="001-006-000311803"/>
    <n v="1.70420260417913E+48"/>
    <d v="2026-04-17T12:21:08"/>
    <d v="2026-04-17T00:00:00"/>
    <n v="190401685001"/>
    <n v="99.59"/>
    <n v="14.94"/>
    <m/>
    <s v="013-002-000351610"/>
  </r>
  <r>
    <n v="1791321596001"/>
    <x v="0"/>
    <s v="Nota de Crédito"/>
    <s v="001-006-000311801"/>
    <n v="1.70420260417913E+48"/>
    <d v="2026-04-17T12:40:04"/>
    <d v="2026-04-17T00:00:00"/>
    <n v="190401685001"/>
    <n v="36.58"/>
    <n v="5.49"/>
    <m/>
    <s v="013-002-000351608"/>
  </r>
  <r>
    <n v="1791321596001"/>
    <x v="0"/>
    <s v="Nota de Crédito"/>
    <s v="001-006-000311827"/>
    <n v="2.0042026041791299E+48"/>
    <d v="2026-04-20T12:04:02"/>
    <d v="2026-04-20T00:00:00"/>
    <n v="190401685001"/>
    <n v="4585.99"/>
    <n v="687.9"/>
    <m/>
    <s v="013-002-000350556"/>
  </r>
  <r>
    <n v="1791321596001"/>
    <x v="0"/>
    <s v="Nota de Crédito"/>
    <s v="001-006-000311864"/>
    <n v="2.0042026041791299E+48"/>
    <d v="2026-04-20T12:42:14"/>
    <d v="2026-04-20T00:00:00"/>
    <n v="190401685001"/>
    <n v="903.99"/>
    <n v="135.6"/>
    <m/>
    <s v="013-002-000349244"/>
  </r>
  <r>
    <n v="1791321596001"/>
    <x v="0"/>
    <s v="Nota de Crédito"/>
    <s v="001-006-000311863"/>
    <n v="2.0042026041791299E+48"/>
    <d v="2026-04-20T12:41:39"/>
    <d v="2026-04-20T00:00:00"/>
    <n v="190401685001"/>
    <n v="2675.97"/>
    <n v="401.4"/>
    <m/>
    <s v="013-002-000348802"/>
  </r>
  <r>
    <n v="1791321596001"/>
    <x v="0"/>
    <s v="Nota de Crédito"/>
    <s v="001-006-000311862"/>
    <n v="2.0042026041791299E+48"/>
    <d v="2026-04-20T12:40:26"/>
    <d v="2026-04-20T00:00:00"/>
    <n v="190401685001"/>
    <n v="1406.19"/>
    <n v="210.93"/>
    <m/>
    <s v="013-002-000348802"/>
  </r>
  <r>
    <n v="1791321596001"/>
    <x v="0"/>
    <s v="Nota de Crédito"/>
    <s v="001-006-000311865"/>
    <n v="2.0042026041791299E+48"/>
    <d v="2026-04-20T12:43:07"/>
    <d v="2026-04-20T00:00:00"/>
    <n v="190401685001"/>
    <n v="1062.78"/>
    <n v="159.41999999999999"/>
    <m/>
    <s v="013-002-000349244"/>
  </r>
  <r>
    <n v="990007020001"/>
    <x v="2"/>
    <s v="Nota de Crédito"/>
    <s v="001-027-000040163"/>
    <n v="2.0042026040990001E+48"/>
    <d v="2026-04-20T16:42:10"/>
    <d v="2026-04-20T00:00:00"/>
    <n v="190401685001"/>
    <n v="1022.08"/>
    <n v="0"/>
    <m/>
    <s v="002-010-000043780"/>
  </r>
  <r>
    <n v="990501750001"/>
    <x v="3"/>
    <s v="Nota de Crédito"/>
    <s v="003-021-000021555"/>
    <n v="2.0042026040990501E+48"/>
    <d v="2026-04-20T08:44:02"/>
    <d v="2026-04-20T00:00:00"/>
    <n v="190401685001"/>
    <n v="465.35"/>
    <n v="0"/>
    <m/>
    <s v="003-021-000045542"/>
  </r>
  <r>
    <n v="990501750001"/>
    <x v="3"/>
    <s v="Nota de Crédito"/>
    <s v="003-021-000021556"/>
    <n v="2.0042026040990501E+48"/>
    <d v="2026-04-20T08:44:47"/>
    <d v="2026-04-20T00:00:00"/>
    <n v="190401685001"/>
    <n v="339.3"/>
    <n v="0"/>
    <m/>
    <s v="003-021-000045542"/>
  </r>
  <r>
    <n v="990501750001"/>
    <x v="3"/>
    <s v="Nota de Crédito"/>
    <s v="003-021-000021557"/>
    <n v="2.0042026040990501E+48"/>
    <d v="2026-04-20T08:44:48"/>
    <d v="2026-04-20T00:00:00"/>
    <n v="190401685001"/>
    <n v="2709.87"/>
    <n v="406.48"/>
    <m/>
    <s v="003-021-000045542"/>
  </r>
  <r>
    <n v="1791321596001"/>
    <x v="0"/>
    <s v="Nota de Crédito"/>
    <s v="001-006-000311998"/>
    <n v="2.10420260417913E+48"/>
    <d v="2026-04-21T16:27:51"/>
    <d v="2026-04-21T00:00:00"/>
    <n v="190401685001"/>
    <n v="4438"/>
    <n v="665.7"/>
    <m/>
    <s v="013-002-000350556"/>
  </r>
  <r>
    <n v="1791321596001"/>
    <x v="5"/>
    <s v="Nota de Crédito"/>
    <s v="007-004-000076783"/>
    <n v="2.10420260417913E+48"/>
    <d v="2026-04-21T14:57:48"/>
    <d v="2026-04-21T00:00:00"/>
    <n v="190401685001"/>
    <n v="525.78"/>
    <n v="78.87"/>
    <m/>
    <s v="007-003-000870667"/>
  </r>
  <r>
    <n v="1791321596001"/>
    <x v="5"/>
    <s v="Nota de Crédito"/>
    <s v="007-004-000076685"/>
    <n v="2.10420260417913E+48"/>
    <d v="2026-04-21T13:52:28"/>
    <d v="2026-04-21T00:00:00"/>
    <n v="190401685001"/>
    <n v="1827.21"/>
    <n v="274.08"/>
    <m/>
    <s v="007-003-000870667"/>
  </r>
  <r>
    <n v="1791321596001"/>
    <x v="0"/>
    <s v="Nota de Crédito"/>
    <s v="001-006-000311975"/>
    <n v="2.10420260417913E+48"/>
    <d v="2026-04-21T16:09:16"/>
    <d v="2026-04-21T00:00:00"/>
    <n v="190401685001"/>
    <n v="78.739999999999995"/>
    <n v="11.81"/>
    <m/>
    <s v="013-002-000351547"/>
  </r>
  <r>
    <n v="1791321596001"/>
    <x v="0"/>
    <s v="Nota de Crédito"/>
    <s v="001-006-000311997"/>
    <n v="2.10420260417913E+48"/>
    <d v="2026-04-21T16:26:44"/>
    <d v="2026-04-21T00:00:00"/>
    <n v="190401685001"/>
    <n v="3324.65"/>
    <n v="498.7"/>
    <m/>
    <s v="013-002-000350111"/>
  </r>
  <r>
    <n v="1791321596001"/>
    <x v="0"/>
    <s v="Nota de Crédito"/>
    <s v="001-006-000311964"/>
    <n v="2.10420260417913E+48"/>
    <d v="2026-04-21T16:00:33"/>
    <d v="2026-04-21T00:00:00"/>
    <n v="190401685001"/>
    <n v="1389.61"/>
    <n v="208.44"/>
    <m/>
    <s v="013-002-000350111"/>
  </r>
  <r>
    <n v="1791321596001"/>
    <x v="5"/>
    <s v="Nota de Crédito"/>
    <s v="007-004-000076785"/>
    <n v="2.10420260417913E+48"/>
    <d v="2026-04-21T15:00:08"/>
    <d v="2026-04-21T00:00:00"/>
    <n v="190401685001"/>
    <n v="460.26"/>
    <n v="69.040000000000006"/>
    <m/>
    <s v="007-003-000869780"/>
  </r>
  <r>
    <n v="1791321596001"/>
    <x v="0"/>
    <s v="Nota de Crédito"/>
    <s v="001-006-000312024"/>
    <n v="2.10420260417913E+48"/>
    <d v="2026-04-21T16:54:50"/>
    <d v="2026-04-21T00:00:00"/>
    <n v="190401685001"/>
    <n v="7257.84"/>
    <n v="1088.68"/>
    <m/>
    <s v="013-002-000350556"/>
  </r>
  <r>
    <n v="1791321596001"/>
    <x v="5"/>
    <s v="Nota de Crédito"/>
    <s v="007-004-000076626"/>
    <n v="2.10420260417913E+48"/>
    <d v="2026-04-21T13:20:11"/>
    <d v="2026-04-21T00:00:00"/>
    <n v="190401685001"/>
    <n v="400"/>
    <n v="60"/>
    <m/>
    <s v="007-003-000870667"/>
  </r>
  <r>
    <n v="1791321596001"/>
    <x v="5"/>
    <s v="Nota de Crédito"/>
    <s v="007-004-000076624"/>
    <n v="2.10420260417913E+48"/>
    <d v="2026-04-21T13:18:27"/>
    <d v="2026-04-21T00:00:00"/>
    <n v="190401685001"/>
    <n v="400"/>
    <n v="60"/>
    <m/>
    <s v="007-003-000870667"/>
  </r>
  <r>
    <n v="1791321596001"/>
    <x v="5"/>
    <s v="Nota de Crédito"/>
    <s v="007-004-000076541"/>
    <n v="2.10420260417913E+48"/>
    <d v="2026-04-21T12:12:09"/>
    <d v="2026-04-21T00:00:00"/>
    <n v="190401685001"/>
    <n v="215.34"/>
    <n v="32.299999999999997"/>
    <m/>
    <s v="007-003-000870667"/>
  </r>
  <r>
    <n v="1791321596001"/>
    <x v="0"/>
    <s v="Nota de Crédito"/>
    <s v="001-006-000311962"/>
    <n v="2.10420260417913E+48"/>
    <d v="2026-04-21T15:58:25"/>
    <d v="2026-04-21T00:00:00"/>
    <n v="190401685001"/>
    <n v="2239.83"/>
    <n v="335.97"/>
    <m/>
    <s v="013-002-000350556"/>
  </r>
  <r>
    <n v="1791321596001"/>
    <x v="0"/>
    <s v="Nota de Crédito"/>
    <s v="001-006-000311999"/>
    <n v="2.10420260417913E+48"/>
    <d v="2026-04-21T16:28:46"/>
    <d v="2026-04-21T00:00:00"/>
    <n v="190401685001"/>
    <n v="4734.03"/>
    <n v="710.1"/>
    <m/>
    <s v="013-002-000350556"/>
  </r>
  <r>
    <n v="1791321596001"/>
    <x v="5"/>
    <s v="Nota de Crédito"/>
    <s v="007-003-000074669"/>
    <n v="2.10420260417913E+48"/>
    <d v="2026-04-21T16:24:45"/>
    <d v="2026-04-21T00:00:00"/>
    <n v="190401685001"/>
    <n v="11.6"/>
    <n v="1.74"/>
    <m/>
    <s v="007-003-000873918"/>
  </r>
  <r>
    <n v="1791321596001"/>
    <x v="5"/>
    <s v="Nota de Crédito"/>
    <s v="007-004-000076587"/>
    <n v="2.10420260417913E+48"/>
    <d v="2026-04-21T12:40:14"/>
    <d v="2026-04-21T00:00:00"/>
    <n v="190401685001"/>
    <n v="35.67"/>
    <n v="5.35"/>
    <m/>
    <s v="007-003-000870667"/>
  </r>
  <r>
    <n v="1791321596001"/>
    <x v="5"/>
    <s v="Nota de Crédito"/>
    <s v="007-004-000076712"/>
    <n v="2.10420260417913E+48"/>
    <d v="2026-04-21T14:07:54"/>
    <d v="2026-04-21T00:00:00"/>
    <n v="190401685001"/>
    <n v="630.05999999999995"/>
    <n v="94.51"/>
    <m/>
    <s v="007-003-000870667"/>
  </r>
  <r>
    <n v="1791321596001"/>
    <x v="5"/>
    <s v="Nota de Crédito"/>
    <s v="007-004-000076784"/>
    <n v="2.10420260417913E+48"/>
    <d v="2026-04-21T14:58:53"/>
    <d v="2026-04-21T00:00:00"/>
    <n v="190401685001"/>
    <n v="461.48"/>
    <n v="69.22"/>
    <m/>
    <s v="007-003-000868795"/>
  </r>
  <r>
    <n v="1791321596001"/>
    <x v="0"/>
    <s v="Nota de Crédito"/>
    <s v="001-006-000311963"/>
    <n v="2.10420260417913E+48"/>
    <d v="2026-04-21T15:59:04"/>
    <d v="2026-04-21T00:00:00"/>
    <n v="190401685001"/>
    <n v="2768"/>
    <n v="415.2"/>
    <m/>
    <s v="013-002-000350556"/>
  </r>
  <r>
    <n v="1791321596001"/>
    <x v="0"/>
    <s v="Nota de Crédito"/>
    <s v="001-006-000311994"/>
    <n v="2.10420260417913E+48"/>
    <d v="2026-04-21T16:25:02"/>
    <d v="2026-04-21T00:00:00"/>
    <n v="190401685001"/>
    <n v="67.92"/>
    <n v="10.19"/>
    <m/>
    <s v="013-002-000351547"/>
  </r>
  <r>
    <n v="1791321596001"/>
    <x v="0"/>
    <s v="Nota de Crédito"/>
    <s v="001-006-000312025"/>
    <n v="2.10420260417913E+48"/>
    <d v="2026-04-21T16:56:01"/>
    <d v="2026-04-21T00:00:00"/>
    <n v="190401685001"/>
    <n v="8886.89"/>
    <n v="1333.03"/>
    <m/>
    <s v="013-002-000350556"/>
  </r>
  <r>
    <n v="1791321596001"/>
    <x v="0"/>
    <s v="Nota de Crédito"/>
    <s v="001-006-000312023"/>
    <n v="2.10420260417913E+48"/>
    <d v="2026-04-21T16:53:10"/>
    <d v="2026-04-21T00:00:00"/>
    <n v="190401685001"/>
    <n v="14423.06"/>
    <n v="2163.46"/>
    <m/>
    <s v="013-002-000350111"/>
  </r>
  <r>
    <n v="1791321596001"/>
    <x v="5"/>
    <s v="Nota de Crédito"/>
    <s v="007-004-000076645"/>
    <n v="2.10420260417913E+48"/>
    <d v="2026-04-21T13:30:17"/>
    <d v="2026-04-21T00:00:00"/>
    <n v="190401685001"/>
    <n v="65.22"/>
    <n v="9.7799999999999994"/>
    <m/>
    <s v="007-003-000870667"/>
  </r>
  <r>
    <n v="1791321596001"/>
    <x v="5"/>
    <s v="Nota de Crédito"/>
    <s v="007-004-000076566"/>
    <n v="2.10420260417913E+48"/>
    <d v="2026-04-21T12:21:54"/>
    <d v="2026-04-21T00:00:00"/>
    <n v="190401685001"/>
    <n v="40.15"/>
    <n v="6.02"/>
    <m/>
    <s v="007-003-000870667"/>
  </r>
  <r>
    <n v="1791321596001"/>
    <x v="0"/>
    <s v="Nota de Crédito"/>
    <s v="001-006-000311927"/>
    <n v="2.10420260417913E+48"/>
    <d v="2026-04-21T11:40:09"/>
    <d v="2026-04-21T00:00:00"/>
    <n v="190401685001"/>
    <n v="11655.51"/>
    <n v="1748.33"/>
    <m/>
    <s v="013-002-000350556"/>
  </r>
  <r>
    <n v="1791321596001"/>
    <x v="5"/>
    <s v="Nota de Crédito"/>
    <s v="007-004-000076580"/>
    <n v="2.10420260417913E+48"/>
    <d v="2026-04-21T12:32:48"/>
    <d v="2026-04-21T00:00:00"/>
    <n v="190401685001"/>
    <n v="223.28"/>
    <n v="33.49"/>
    <m/>
    <s v="007-003-000870667"/>
  </r>
  <r>
    <n v="1791321596001"/>
    <x v="0"/>
    <s v="Nota de Crédito"/>
    <s v="001-006-000311938"/>
    <n v="2.10420260417913E+48"/>
    <d v="2026-04-21T11:53:10"/>
    <d v="2026-04-21T00:00:00"/>
    <n v="190401685001"/>
    <n v="7167.98"/>
    <n v="1075.2"/>
    <m/>
    <s v="013-002-000350111"/>
  </r>
  <r>
    <n v="990501750001"/>
    <x v="3"/>
    <s v="Nota de Crédito"/>
    <s v="003-021-000021577"/>
    <n v="2.1042026040990499E+48"/>
    <d v="2026-04-21T08:16:49"/>
    <d v="2026-04-21T00:00:00"/>
    <n v="190401685001"/>
    <n v="70.94"/>
    <n v="0"/>
    <m/>
    <s v="003-021-000045765"/>
  </r>
  <r>
    <n v="990501750001"/>
    <x v="3"/>
    <s v="Nota de Crédito"/>
    <s v="003-021-000021581"/>
    <n v="2.1042026040990499E+48"/>
    <d v="2026-04-21T08:19:06"/>
    <d v="2026-04-21T00:00:00"/>
    <n v="190401685001"/>
    <n v="34.67"/>
    <n v="5.2"/>
    <m/>
    <s v="003-021-000045766"/>
  </r>
  <r>
    <n v="990501750001"/>
    <x v="3"/>
    <s v="Nota de Crédito"/>
    <s v="003-021-000021575"/>
    <n v="2.1042026040990499E+48"/>
    <d v="2026-04-21T08:14:33"/>
    <d v="2026-04-21T00:00:00"/>
    <n v="190401685001"/>
    <n v="16.739999999999998"/>
    <n v="2.5099999999999998"/>
    <m/>
    <s v="003-021-000045795"/>
  </r>
  <r>
    <n v="990501750001"/>
    <x v="3"/>
    <s v="Nota de Crédito"/>
    <s v="003-021-000021580"/>
    <n v="2.1042026040990499E+48"/>
    <d v="2026-04-21T08:17:35"/>
    <d v="2026-04-21T00:00:00"/>
    <n v="190401685001"/>
    <n v="5.49"/>
    <n v="0.82"/>
    <m/>
    <s v="003-021-000045766"/>
  </r>
  <r>
    <n v="990501750001"/>
    <x v="3"/>
    <s v="Nota de Crédito"/>
    <s v="003-021-000021578"/>
    <n v="2.1042026040990499E+48"/>
    <d v="2026-04-21T08:16:49"/>
    <d v="2026-04-21T00:00:00"/>
    <n v="190401685001"/>
    <n v="4.79"/>
    <n v="0.72"/>
    <m/>
    <s v="003-021-000045765"/>
  </r>
  <r>
    <n v="990501750001"/>
    <x v="3"/>
    <s v="Nota de Crédito"/>
    <s v="003-021-000021576"/>
    <n v="2.1042026040990499E+48"/>
    <d v="2026-04-21T08:14:33"/>
    <d v="2026-04-21T00:00:00"/>
    <n v="190401685001"/>
    <n v="16.739999999999998"/>
    <n v="2.5099999999999998"/>
    <m/>
    <s v="003-021-000045796"/>
  </r>
  <r>
    <n v="990501750001"/>
    <x v="3"/>
    <s v="Nota de Crédito"/>
    <s v="003-021-000021579"/>
    <n v="2.1042026040990499E+48"/>
    <d v="2026-04-21T08:17:35"/>
    <d v="2026-04-21T00:00:00"/>
    <n v="190401685001"/>
    <n v="9.23"/>
    <n v="1.38"/>
    <m/>
    <s v="003-021-000045765"/>
  </r>
  <r>
    <n v="1791321596001"/>
    <x v="0"/>
    <s v="Nota de Crédito"/>
    <s v="001-006-000312123"/>
    <n v="2.2042026041791301E+48"/>
    <d v="2026-04-22T16:03:13"/>
    <d v="2026-04-22T00:00:00"/>
    <n v="190401685001"/>
    <n v="28.69"/>
    <n v="4.3099999999999996"/>
    <m/>
    <s v="013-002-000352059"/>
  </r>
  <r>
    <n v="1791321596001"/>
    <x v="0"/>
    <s v="Nota de Crédito"/>
    <s v="001-006-000312125"/>
    <n v="2.2042026041791301E+48"/>
    <d v="2026-04-22T16:03:13"/>
    <d v="2026-04-22T00:00:00"/>
    <n v="190401685001"/>
    <n v="41.3"/>
    <n v="6.2"/>
    <m/>
    <s v="013-002-000352066"/>
  </r>
  <r>
    <n v="1791321596001"/>
    <x v="0"/>
    <s v="Nota de Crédito"/>
    <s v="001-006-000312131"/>
    <n v="2.2042026041791301E+48"/>
    <d v="2026-04-22T16:03:13"/>
    <d v="2026-04-22T00:00:00"/>
    <n v="190401685001"/>
    <n v="35.22"/>
    <n v="5.28"/>
    <m/>
    <s v="013-002-000352063"/>
  </r>
  <r>
    <n v="1791321596001"/>
    <x v="0"/>
    <s v="Nota de Crédito"/>
    <s v="001-006-000312033"/>
    <n v="2.2042026041791301E+48"/>
    <d v="2026-04-22T11:52:30"/>
    <d v="2026-04-22T00:00:00"/>
    <n v="190401685001"/>
    <n v="14726.46"/>
    <n v="2208.9699999999998"/>
    <m/>
    <s v="013-002-000350556"/>
  </r>
  <r>
    <n v="1791321596001"/>
    <x v="0"/>
    <s v="Nota de Crédito"/>
    <s v="001-006-000312028"/>
    <n v="2.2042026041791301E+48"/>
    <d v="2026-04-22T11:49:01"/>
    <d v="2026-04-22T00:00:00"/>
    <n v="190401685001"/>
    <n v="5183.62"/>
    <n v="777.54"/>
    <m/>
    <s v="013-002-000350111"/>
  </r>
  <r>
    <n v="1791321596001"/>
    <x v="0"/>
    <s v="Nota de Crédito"/>
    <s v="001-006-000312124"/>
    <n v="2.2042026041791301E+48"/>
    <d v="2026-04-22T16:03:08"/>
    <d v="2026-04-22T00:00:00"/>
    <n v="190401685001"/>
    <n v="16.52"/>
    <n v="2.48"/>
    <m/>
    <s v="013-002-000352065"/>
  </r>
  <r>
    <n v="1791321596001"/>
    <x v="5"/>
    <s v="Nota de Crédito"/>
    <s v="007-004-000076837"/>
    <n v="2.2042026041791301E+48"/>
    <d v="2026-04-22T10:25:36"/>
    <d v="2026-04-22T00:00:00"/>
    <n v="190401685001"/>
    <n v="750"/>
    <n v="112.5"/>
    <m/>
    <s v="007-003-000870667"/>
  </r>
  <r>
    <n v="1791321596001"/>
    <x v="0"/>
    <s v="Nota de Crédito"/>
    <s v="001-006-000312061"/>
    <n v="2.2042026041791301E+48"/>
    <d v="2026-04-22T13:17:28"/>
    <d v="2026-04-22T00:00:00"/>
    <n v="190401685001"/>
    <n v="1116.3"/>
    <n v="167.44"/>
    <m/>
    <s v="013-002-000350672"/>
  </r>
  <r>
    <n v="1791321596001"/>
    <x v="0"/>
    <s v="Nota de Crédito"/>
    <s v="001-006-000312060"/>
    <n v="2.2042026041791301E+48"/>
    <d v="2026-04-22T13:15:38"/>
    <d v="2026-04-22T00:00:00"/>
    <n v="190401685001"/>
    <n v="478.42"/>
    <n v="71.760000000000005"/>
    <m/>
    <s v="013-002-000350556"/>
  </r>
  <r>
    <n v="990501750001"/>
    <x v="3"/>
    <s v="Nota de Crédito"/>
    <s v="003-021-000021672"/>
    <n v="2.3042026040990501E+48"/>
    <d v="2026-04-23T10:26:00"/>
    <d v="2026-04-23T00:00:00"/>
    <n v="190401685001"/>
    <n v="3.48"/>
    <n v="0.52"/>
    <m/>
    <s v="003-021-000045537"/>
  </r>
  <r>
    <n v="990501750001"/>
    <x v="3"/>
    <s v="Nota de Crédito"/>
    <s v="003-021-000021681"/>
    <n v="2.3042026040990501E+48"/>
    <d v="2026-04-23T10:37:28"/>
    <d v="2026-04-23T00:00:00"/>
    <n v="190401685001"/>
    <n v="13.74"/>
    <n v="0"/>
    <m/>
    <s v="003-021-000045539"/>
  </r>
  <r>
    <n v="990501750001"/>
    <x v="3"/>
    <s v="Nota de Crédito"/>
    <s v="003-021-000021677"/>
    <n v="2.3042026040990501E+48"/>
    <d v="2026-04-23T10:31:21"/>
    <d v="2026-04-23T00:00:00"/>
    <n v="190401685001"/>
    <n v="1.1100000000000001"/>
    <n v="0"/>
    <m/>
    <s v="003-021-000045405"/>
  </r>
  <r>
    <n v="990501750001"/>
    <x v="3"/>
    <s v="Nota de Crédito"/>
    <s v="003-021-000021673"/>
    <n v="2.3042026040990501E+48"/>
    <d v="2026-04-23T10:28:16"/>
    <d v="2026-04-23T00:00:00"/>
    <n v="190401685001"/>
    <n v="1.75"/>
    <n v="0.26"/>
    <m/>
    <s v="003-021-000045426"/>
  </r>
  <r>
    <n v="990501750001"/>
    <x v="3"/>
    <s v="Nota de Crédito"/>
    <s v="003-021-000021671"/>
    <n v="2.3042026040990501E+48"/>
    <d v="2026-04-23T10:24:29"/>
    <d v="2026-04-23T00:00:00"/>
    <n v="190401685001"/>
    <n v="1.25"/>
    <n v="0.19"/>
    <m/>
    <s v="003-021-000045366"/>
  </r>
  <r>
    <n v="990501750001"/>
    <x v="3"/>
    <s v="Nota de Crédito"/>
    <s v="003-021-000021682"/>
    <n v="2.3042026040990501E+48"/>
    <d v="2026-04-23T10:38:14"/>
    <d v="2026-04-23T00:00:00"/>
    <n v="190401685001"/>
    <n v="1.89"/>
    <n v="0.28000000000000003"/>
    <m/>
    <s v="003-021-000045541"/>
  </r>
  <r>
    <n v="990501750001"/>
    <x v="3"/>
    <s v="Nota de Crédito"/>
    <s v="003-021-000021678"/>
    <n v="2.3042026040990501E+48"/>
    <d v="2026-04-23T10:32:54"/>
    <d v="2026-04-23T00:00:00"/>
    <n v="190401685001"/>
    <n v="0.71"/>
    <n v="0.11"/>
    <m/>
    <s v="003-021-000045537"/>
  </r>
  <r>
    <n v="990501750001"/>
    <x v="3"/>
    <s v="Nota de Crédito"/>
    <s v="003-021-000021668"/>
    <n v="2.3042026040990501E+48"/>
    <d v="2026-04-23T10:11:21"/>
    <d v="2026-04-23T00:00:00"/>
    <n v="190401685001"/>
    <n v="107.97"/>
    <n v="16.2"/>
    <m/>
    <s v="003-021-000045613"/>
  </r>
  <r>
    <n v="990501750001"/>
    <x v="3"/>
    <s v="Nota de Crédito"/>
    <s v="003-021-000021674"/>
    <n v="2.3042026040990501E+48"/>
    <d v="2026-04-23T10:29:05"/>
    <d v="2026-04-23T00:00:00"/>
    <n v="190401685001"/>
    <n v="9.4600000000000009"/>
    <n v="1.42"/>
    <m/>
    <s v="003-021-000045427"/>
  </r>
  <r>
    <n v="990501750001"/>
    <x v="3"/>
    <s v="Nota de Crédito"/>
    <s v="003-021-000021676"/>
    <n v="2.3042026040990501E+48"/>
    <d v="2026-04-23T10:30:36"/>
    <d v="2026-04-23T00:00:00"/>
    <n v="190401685001"/>
    <n v="7.0000000000000007E-2"/>
    <n v="0.01"/>
    <m/>
    <s v="003-021-000045541"/>
  </r>
  <r>
    <n v="990501750001"/>
    <x v="3"/>
    <s v="Nota de Crédito"/>
    <s v="003-021-000021667"/>
    <n v="2.3042026040990501E+48"/>
    <d v="2026-04-23T10:11:21"/>
    <d v="2026-04-23T00:00:00"/>
    <n v="190401685001"/>
    <n v="1866.44"/>
    <n v="279.97000000000003"/>
    <m/>
    <s v="003-021-000045542"/>
  </r>
  <r>
    <n v="990501750001"/>
    <x v="3"/>
    <s v="Nota de Crédito"/>
    <s v="003-021-000021675"/>
    <n v="2.3042026040990501E+48"/>
    <d v="2026-04-23T10:29:50"/>
    <d v="2026-04-23T00:00:00"/>
    <n v="190401685001"/>
    <n v="29.89"/>
    <n v="0"/>
    <m/>
    <s v="003-021-000045539"/>
  </r>
  <r>
    <n v="990501750001"/>
    <x v="3"/>
    <s v="Nota de Crédito"/>
    <s v="003-021-000021670"/>
    <n v="2.3042026040990501E+48"/>
    <d v="2026-04-23T10:12:11"/>
    <d v="2026-04-23T00:00:00"/>
    <n v="190401685001"/>
    <n v="229.53"/>
    <n v="0"/>
    <m/>
    <s v="003-021-000045613"/>
  </r>
  <r>
    <n v="990501750001"/>
    <x v="3"/>
    <s v="Nota de Crédito"/>
    <s v="003-021-000021679"/>
    <n v="2.3042026040990501E+48"/>
    <d v="2026-04-23T10:35:10"/>
    <d v="2026-04-23T00:00:00"/>
    <n v="190401685001"/>
    <n v="2.66"/>
    <n v="0.4"/>
    <m/>
    <s v="003-021-000045426"/>
  </r>
  <r>
    <n v="990501750001"/>
    <x v="3"/>
    <s v="Nota de Crédito"/>
    <s v="003-021-000021669"/>
    <n v="2.3042026040990501E+48"/>
    <d v="2026-04-23T10:12:07"/>
    <d v="2026-04-23T00:00:00"/>
    <n v="190401685001"/>
    <n v="443.21"/>
    <n v="0"/>
    <m/>
    <s v="003-021-000045613"/>
  </r>
  <r>
    <n v="990501750001"/>
    <x v="3"/>
    <s v="Nota de Crédito"/>
    <s v="003-021-000021680"/>
    <n v="2.3042026040990501E+48"/>
    <d v="2026-04-23T10:35:56"/>
    <d v="2026-04-23T00:00:00"/>
    <n v="190401685001"/>
    <n v="5.74"/>
    <n v="0.86"/>
    <m/>
    <s v="003-021-000045542"/>
  </r>
  <r>
    <n v="990335028001"/>
    <x v="1"/>
    <s v="Nota de Crédito"/>
    <s v="003-005-001259901"/>
    <n v="2.3042026040990299E+48"/>
    <d v="2026-04-23T17:22:58"/>
    <d v="2026-04-23T00:00:00"/>
    <n v="190401685001"/>
    <n v="963.67"/>
    <n v="144.55000000000001"/>
    <m/>
    <s v="003-005-001554379"/>
  </r>
  <r>
    <n v="990335028001"/>
    <x v="1"/>
    <s v="Nota de Crédito"/>
    <s v="003-005-001259861"/>
    <n v="2.3042026040990299E+48"/>
    <d v="2026-04-23T17:18:01"/>
    <d v="2026-04-23T00:00:00"/>
    <n v="190401685001"/>
    <n v="688.34"/>
    <n v="103.25"/>
    <m/>
    <s v="003-005-001554379"/>
  </r>
  <r>
    <n v="990335028001"/>
    <x v="1"/>
    <s v="Nota de Crédito"/>
    <s v="003-005-001260052"/>
    <n v="2.40420260409903E+48"/>
    <d v="2026-04-24T16:04:41"/>
    <d v="2026-04-24T00:00:00"/>
    <n v="190401685001"/>
    <n v="980"/>
    <n v="147"/>
    <m/>
    <s v="003-005-001555227"/>
  </r>
  <r>
    <n v="990335028001"/>
    <x v="1"/>
    <s v="Nota de Crédito"/>
    <s v="003-005-001260050"/>
    <n v="2.40420260409903E+48"/>
    <d v="2026-04-24T16:04:14"/>
    <d v="2026-04-24T00:00:00"/>
    <n v="190401685001"/>
    <n v="74"/>
    <n v="11.1"/>
    <m/>
    <s v="003-005-001554379"/>
  </r>
  <r>
    <n v="990335028001"/>
    <x v="1"/>
    <s v="Nota de Crédito"/>
    <s v="003-005-001260049"/>
    <n v="2.40420260409903E+48"/>
    <d v="2026-04-24T16:04:04"/>
    <d v="2026-04-24T00:00:00"/>
    <n v="190401685001"/>
    <n v="5047.66"/>
    <n v="757.15"/>
    <m/>
    <s v="003-005-001554379"/>
  </r>
  <r>
    <n v="990501750001"/>
    <x v="3"/>
    <s v="Nota de Crédito"/>
    <s v="003-021-000021696"/>
    <n v="2.4042026040990501E+48"/>
    <d v="2026-04-24T16:43:20"/>
    <d v="2026-04-24T00:00:00"/>
    <n v="190401685001"/>
    <n v="43.86"/>
    <n v="6.58"/>
    <m/>
    <s v="003-021-000045858"/>
  </r>
  <r>
    <n v="1791321596001"/>
    <x v="0"/>
    <s v="Nota de Crédito"/>
    <s v="001-006-000312269"/>
    <n v="2.40420260417913E+48"/>
    <d v="2026-04-24T10:07:34"/>
    <d v="2026-04-24T00:00:00"/>
    <n v="190401685001"/>
    <n v="1969.11"/>
    <n v="295.38"/>
    <m/>
    <s v="013-002-000349719"/>
  </r>
  <r>
    <n v="1791321596001"/>
    <x v="5"/>
    <s v="Nota de Crédito"/>
    <s v="007-004-000076926"/>
    <n v="2.40420260417913E+48"/>
    <d v="2026-04-24T09:57:47"/>
    <d v="2026-04-24T00:00:00"/>
    <n v="190401685001"/>
    <n v="4342.66"/>
    <n v="651.4"/>
    <m/>
    <s v="007-003-000870667"/>
  </r>
  <r>
    <n v="1791321596001"/>
    <x v="0"/>
    <s v="Nota de Crédito"/>
    <s v="001-006-000312137"/>
    <n v="2.40420260417913E+48"/>
    <d v="2026-04-24T09:50:55"/>
    <d v="2026-04-24T00:00:00"/>
    <n v="190401685001"/>
    <n v="3003.82"/>
    <n v="450.57"/>
    <m/>
    <s v="013-002-000350111"/>
  </r>
  <r>
    <n v="1791321596001"/>
    <x v="0"/>
    <s v="Nota de Crédito"/>
    <s v="001-006-000312268"/>
    <n v="2.40420260417913E+48"/>
    <d v="2026-04-24T10:07:34"/>
    <d v="2026-04-24T00:00:00"/>
    <n v="190401685001"/>
    <n v="4700.49"/>
    <n v="705.06"/>
    <m/>
    <s v="013-002-000350117"/>
  </r>
  <r>
    <n v="990335028001"/>
    <x v="1"/>
    <s v="Nota de Crédito"/>
    <s v="003-005-001260048"/>
    <n v="2.40420260409903E+48"/>
    <d v="2026-04-24T16:03:51"/>
    <d v="2026-04-24T00:00:00"/>
    <n v="190401685001"/>
    <n v="446"/>
    <n v="66.900000000000006"/>
    <m/>
    <s v="003-005-001555227"/>
  </r>
  <r>
    <n v="990501750001"/>
    <x v="3"/>
    <s v="Nota de Crédito"/>
    <s v="003-021-000021697"/>
    <n v="2.4042026040990501E+48"/>
    <d v="2026-04-24T16:43:19"/>
    <d v="2026-04-24T00:00:00"/>
    <n v="190401685001"/>
    <n v="614.25"/>
    <n v="0"/>
    <m/>
    <s v="003-021-000045854"/>
  </r>
  <r>
    <n v="1791321596001"/>
    <x v="5"/>
    <s v="Nota de Crédito"/>
    <s v="007-004-000076971"/>
    <n v="2.40420260417913E+48"/>
    <d v="2026-04-24T16:54:41"/>
    <d v="2026-04-24T00:00:00"/>
    <n v="190401685001"/>
    <n v="9122"/>
    <n v="1368.3"/>
    <m/>
    <s v="007-003-000870667"/>
  </r>
  <r>
    <n v="990335028001"/>
    <x v="1"/>
    <s v="Nota de Crédito"/>
    <s v="003-005-001260051"/>
    <n v="2.40420260409903E+48"/>
    <d v="2026-04-24T16:04:21"/>
    <d v="2026-04-24T00:00:00"/>
    <n v="190401685001"/>
    <n v="700.11"/>
    <n v="105.02"/>
    <m/>
    <s v="003-005-001555227"/>
  </r>
  <r>
    <n v="1791321596001"/>
    <x v="0"/>
    <s v="Nota de Crédito"/>
    <s v="001-006-000312151"/>
    <n v="2.40420260417913E+48"/>
    <d v="2026-04-24T09:52:09"/>
    <d v="2026-04-24T00:00:00"/>
    <n v="190401685001"/>
    <n v="8084.89"/>
    <n v="1212.73"/>
    <m/>
    <s v="013-002-000350556"/>
  </r>
  <r>
    <n v="1791321596001"/>
    <x v="0"/>
    <s v="Nota de Crédito"/>
    <s v="001-006-000312149"/>
    <n v="2.40420260417913E+48"/>
    <d v="2026-04-24T09:52:08"/>
    <d v="2026-04-24T00:00:00"/>
    <n v="190401685001"/>
    <n v="3380.16"/>
    <n v="507.02"/>
    <m/>
    <s v="013-002-000350111"/>
  </r>
  <r>
    <n v="1791321596001"/>
    <x v="0"/>
    <s v="Nota de Crédito"/>
    <s v="001-006-000312276"/>
    <n v="2.40420260417913E+48"/>
    <d v="2026-04-24T10:08:07"/>
    <d v="2026-04-24T00:00:00"/>
    <n v="190401685001"/>
    <n v="669.57"/>
    <n v="100.44"/>
    <m/>
    <s v="013-002-000342180"/>
  </r>
  <r>
    <n v="1791321596001"/>
    <x v="0"/>
    <s v="Nota de Crédito"/>
    <s v="001-006-000312366"/>
    <n v="2.50420260417913E+48"/>
    <d v="2026-04-27T11:09:35"/>
    <d v="2026-04-25T00:00:00"/>
    <n v="190401685001"/>
    <n v="395.71"/>
    <n v="59.36"/>
    <m/>
    <s v="013-002-000350672"/>
  </r>
  <r>
    <n v="1791321596001"/>
    <x v="0"/>
    <s v="Nota de Crédito"/>
    <s v="001-006-000312316"/>
    <n v="2.50420260417913E+48"/>
    <d v="2026-04-27T11:02:16"/>
    <d v="2026-04-25T00:00:00"/>
    <n v="190401685001"/>
    <n v="1016"/>
    <n v="152.4"/>
    <m/>
    <s v="013-002-000350647"/>
  </r>
  <r>
    <n v="1791321596001"/>
    <x v="5"/>
    <s v="Nota de Crédito"/>
    <s v="007-004-000077001"/>
    <n v="2.50420260417913E+48"/>
    <d v="2026-04-27T11:11:20"/>
    <d v="2026-04-25T00:00:00"/>
    <n v="190401685001"/>
    <n v="1.45"/>
    <n v="0.22"/>
    <m/>
    <s v="007-003-000870667"/>
  </r>
  <r>
    <n v="1791321596001"/>
    <x v="0"/>
    <s v="Nota de Crédito"/>
    <s v="001-006-000312388"/>
    <n v="2.50420260417913E+48"/>
    <d v="2026-04-27T11:09:50"/>
    <d v="2026-04-25T00:00:00"/>
    <n v="190401685001"/>
    <n v="977.11"/>
    <n v="146.56"/>
    <m/>
    <s v="013-002-000350111"/>
  </r>
  <r>
    <n v="1791321596001"/>
    <x v="0"/>
    <s v="Nota de Crédito"/>
    <s v="001-006-000312382"/>
    <n v="2.50420260417913E+48"/>
    <d v="2026-04-27T11:09:45"/>
    <d v="2026-04-25T00:00:00"/>
    <n v="190401685001"/>
    <n v="43.39"/>
    <n v="6.51"/>
    <m/>
    <s v="013-002-000350647"/>
  </r>
  <r>
    <n v="1791321596001"/>
    <x v="0"/>
    <s v="Nota de Crédito"/>
    <s v="001-006-000312371"/>
    <n v="2.50420260417913E+48"/>
    <d v="2026-04-27T11:09:36"/>
    <d v="2026-04-25T00:00:00"/>
    <n v="190401685001"/>
    <n v="650.92999999999995"/>
    <n v="97.64"/>
    <m/>
    <s v="013-002-000350647"/>
  </r>
  <r>
    <n v="1791321596001"/>
    <x v="0"/>
    <s v="Nota de Crédito"/>
    <s v="001-006-000312364"/>
    <n v="2.50420260417913E+48"/>
    <d v="2026-04-27T11:09:34"/>
    <d v="2026-04-25T00:00:00"/>
    <n v="190401685001"/>
    <n v="400.05"/>
    <n v="60.01"/>
    <m/>
    <s v="013-002-000350647"/>
  </r>
  <r>
    <n v="1791321596001"/>
    <x v="0"/>
    <s v="Nota de Crédito"/>
    <s v="001-006-000312315"/>
    <n v="2.50420260417913E+48"/>
    <d v="2026-04-27T11:02:16"/>
    <d v="2026-04-25T00:00:00"/>
    <n v="190401685001"/>
    <n v="2402"/>
    <n v="360.3"/>
    <m/>
    <s v="013-002-000350672"/>
  </r>
  <r>
    <n v="1791321596001"/>
    <x v="0"/>
    <s v="Nota de Crédito"/>
    <s v="001-006-000312368"/>
    <n v="2.50420260417913E+48"/>
    <d v="2026-04-27T11:09:35"/>
    <d v="2026-04-25T00:00:00"/>
    <n v="190401685001"/>
    <n v="331.85"/>
    <n v="49.78"/>
    <m/>
    <s v="013-002-000350647"/>
  </r>
  <r>
    <n v="1791321596001"/>
    <x v="0"/>
    <s v="Nota de Crédito"/>
    <s v="001-006-000312374"/>
    <n v="2.50420260417913E+48"/>
    <d v="2026-04-27T11:09:38"/>
    <d v="2026-04-25T00:00:00"/>
    <n v="190401685001"/>
    <n v="133.74"/>
    <n v="20.059999999999999"/>
    <m/>
    <s v="013-002-000350647"/>
  </r>
  <r>
    <n v="1791321596001"/>
    <x v="0"/>
    <s v="Nota de Crédito"/>
    <s v="001-006-000312373"/>
    <n v="2.50420260417913E+48"/>
    <d v="2026-04-27T11:09:38"/>
    <d v="2026-04-25T00:00:00"/>
    <n v="190401685001"/>
    <n v="145.63999999999999"/>
    <n v="21.85"/>
    <m/>
    <s v="013-002-000350672"/>
  </r>
  <r>
    <n v="1791321596001"/>
    <x v="0"/>
    <s v="Nota de Crédito"/>
    <s v="001-006-000312499"/>
    <n v="2.80420260417913E+48"/>
    <d v="2026-04-28T16:34:32"/>
    <d v="2026-04-28T00:00:00"/>
    <n v="190401685001"/>
    <n v="2494.59"/>
    <n v="374.19"/>
    <m/>
    <s v="013-002-000350111"/>
  </r>
  <r>
    <n v="990501750001"/>
    <x v="3"/>
    <s v="Nota de Crédito"/>
    <s v="003-021-000021746"/>
    <n v="2.8042026040990502E+48"/>
    <d v="2026-04-28T16:09:23"/>
    <d v="2026-04-28T00:00:00"/>
    <n v="190401685001"/>
    <n v="2.0099999999999998"/>
    <n v="0"/>
    <m/>
    <s v="003-021-000045856"/>
  </r>
  <r>
    <n v="990335028001"/>
    <x v="1"/>
    <s v="Nota de Crédito"/>
    <s v="003-005-001260110"/>
    <n v="2.80420260409903E+48"/>
    <d v="2026-04-28T15:52:54"/>
    <d v="2026-04-28T00:00:00"/>
    <n v="190401685001"/>
    <n v="801.8"/>
    <n v="120.27"/>
    <m/>
    <s v="003-005-001556114"/>
  </r>
  <r>
    <n v="990501750001"/>
    <x v="3"/>
    <s v="Nota de Crédito"/>
    <s v="003-021-000021748"/>
    <n v="2.8042026040990502E+48"/>
    <d v="2026-04-28T16:10:11"/>
    <d v="2026-04-28T00:00:00"/>
    <n v="190401685001"/>
    <n v="64.48"/>
    <n v="9.67"/>
    <m/>
    <s v="003-021-000045856"/>
  </r>
  <r>
    <n v="990501750001"/>
    <x v="3"/>
    <s v="Nota de Crédito"/>
    <s v="003-021-000021743"/>
    <n v="2.8042026040990502E+48"/>
    <d v="2026-04-28T16:07:05"/>
    <d v="2026-04-28T00:00:00"/>
    <n v="190401685001"/>
    <n v="2.0099999999999998"/>
    <n v="0"/>
    <m/>
    <s v="003-021-000045854"/>
  </r>
  <r>
    <n v="1791321596001"/>
    <x v="0"/>
    <s v="Nota de Crédito"/>
    <s v="001-006-000312498"/>
    <n v="2.80420260417913E+48"/>
    <d v="2026-04-28T16:34:32"/>
    <d v="2026-04-28T00:00:00"/>
    <n v="190401685001"/>
    <n v="6111.69"/>
    <n v="916.75"/>
    <m/>
    <s v="013-002-000350556"/>
  </r>
  <r>
    <n v="1791321596001"/>
    <x v="0"/>
    <s v="Nota de Crédito"/>
    <s v="001-006-000312549"/>
    <n v="2.80420260417913E+48"/>
    <d v="2026-04-28T16:38:42"/>
    <d v="2026-04-28T00:00:00"/>
    <n v="190401685001"/>
    <n v="3609.64"/>
    <n v="541.45000000000005"/>
    <m/>
    <s v="013-002-000350111"/>
  </r>
  <r>
    <n v="1791321596001"/>
    <x v="0"/>
    <s v="Nota de Crédito"/>
    <s v="001-006-000312679"/>
    <n v="2.80420260417913E+48"/>
    <d v="2026-04-28T11:14:23"/>
    <d v="2026-04-28T00:00:00"/>
    <n v="190401685001"/>
    <n v="11183.11"/>
    <n v="1677.47"/>
    <m/>
    <s v="013-002-000350111"/>
  </r>
  <r>
    <n v="1791321596001"/>
    <x v="0"/>
    <s v="Nota de Crédito"/>
    <s v="001-006-000312548"/>
    <n v="2.80420260417913E+48"/>
    <d v="2026-04-28T16:38:42"/>
    <d v="2026-04-28T00:00:00"/>
    <n v="190401685001"/>
    <n v="3321.21"/>
    <n v="498.18"/>
    <m/>
    <s v="013-002-000350556"/>
  </r>
  <r>
    <n v="990501750001"/>
    <x v="3"/>
    <s v="Nota de Crédito"/>
    <s v="003-021-000021749"/>
    <n v="2.8042026040990502E+48"/>
    <d v="2026-04-28T16:10:56"/>
    <d v="2026-04-28T00:00:00"/>
    <n v="190401685001"/>
    <n v="6.17"/>
    <n v="0.93"/>
    <m/>
    <s v="003-021-000045858"/>
  </r>
  <r>
    <n v="990501750001"/>
    <x v="3"/>
    <s v="Nota de Crédito"/>
    <s v="003-021-000021750"/>
    <n v="2.8042026040990502E+48"/>
    <d v="2026-04-28T16:10:57"/>
    <d v="2026-04-28T00:00:00"/>
    <n v="190401685001"/>
    <n v="12.87"/>
    <n v="0"/>
    <m/>
    <s v="003-021-000045872"/>
  </r>
  <r>
    <n v="990501750001"/>
    <x v="3"/>
    <s v="Nota de Crédito"/>
    <s v="003-021-000021744"/>
    <n v="2.8042026040990502E+48"/>
    <d v="2026-04-28T16:08:36"/>
    <d v="2026-04-28T00:00:00"/>
    <n v="190401685001"/>
    <n v="13.95"/>
    <n v="2.09"/>
    <m/>
    <s v="003-021-000045854"/>
  </r>
  <r>
    <n v="1791321596001"/>
    <x v="0"/>
    <s v="Nota de Crédito"/>
    <s v="001-006-000312636"/>
    <n v="2.80420260417913E+48"/>
    <d v="2026-04-28T16:44:54"/>
    <d v="2026-04-28T00:00:00"/>
    <n v="190401685001"/>
    <n v="2988.2"/>
    <n v="448.23"/>
    <m/>
    <s v="013-002-000350556"/>
  </r>
  <r>
    <n v="990335028001"/>
    <x v="1"/>
    <s v="Nota de Crédito"/>
    <s v="003-005-001260171"/>
    <n v="2.80420260409903E+48"/>
    <d v="2026-04-28T15:57:43"/>
    <d v="2026-04-28T00:00:00"/>
    <n v="190401685001"/>
    <n v="1122.51"/>
    <n v="168.38"/>
    <m/>
    <s v="003-005-001556114"/>
  </r>
  <r>
    <n v="1791321596001"/>
    <x v="0"/>
    <s v="Nota de Crédito"/>
    <s v="001-006-000312684"/>
    <n v="2.80420260417913E+48"/>
    <d v="2026-04-28T11:19:36"/>
    <d v="2026-04-28T00:00:00"/>
    <n v="190401685001"/>
    <n v="18764.59"/>
    <n v="2814.69"/>
    <m/>
    <s v="013-002-000350556"/>
  </r>
  <r>
    <n v="1791321596001"/>
    <x v="0"/>
    <s v="Nota de Crédito"/>
    <s v="001-006-000312516"/>
    <n v="2.80420260417913E+48"/>
    <d v="2026-04-28T16:36:19"/>
    <d v="2026-04-28T00:00:00"/>
    <n v="190401685001"/>
    <n v="1290"/>
    <n v="193.5"/>
    <m/>
    <s v="013-002-000350556"/>
  </r>
  <r>
    <n v="1791321596001"/>
    <x v="0"/>
    <s v="Nota de Crédito"/>
    <s v="001-006-000312517"/>
    <n v="2.80420260417913E+48"/>
    <d v="2026-04-28T16:36:20"/>
    <d v="2026-04-28T00:00:00"/>
    <n v="190401685001"/>
    <n v="470"/>
    <n v="70.5"/>
    <m/>
    <s v="013-002-000350111"/>
  </r>
  <r>
    <n v="990501750001"/>
    <x v="3"/>
    <s v="Nota de Crédito"/>
    <s v="003-021-000021745"/>
    <n v="2.8042026040990502E+48"/>
    <d v="2026-04-28T16:08:36"/>
    <d v="2026-04-28T00:00:00"/>
    <n v="190401685001"/>
    <n v="82"/>
    <n v="12.3"/>
    <m/>
    <s v="003-021-000045854"/>
  </r>
  <r>
    <n v="990501750001"/>
    <x v="3"/>
    <s v="Nota de Crédito"/>
    <s v="003-021-000021747"/>
    <n v="2.8042026040990502E+48"/>
    <d v="2026-04-28T16:10:09"/>
    <d v="2026-04-28T00:00:00"/>
    <n v="190401685001"/>
    <n v="15.78"/>
    <n v="2.37"/>
    <m/>
    <s v="003-021-000045856"/>
  </r>
  <r>
    <n v="990007020001"/>
    <x v="2"/>
    <s v="Nota de Crédito"/>
    <s v="002-010-000015232"/>
    <n v="2.9042026040989999E+48"/>
    <d v="2026-04-29T16:34:45"/>
    <d v="2026-04-29T00:00:00"/>
    <n v="190401685001"/>
    <n v="197.49"/>
    <n v="0"/>
    <m/>
    <s v="002-010-000043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652F1-F242-4E0B-AA65-22509C75D791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0" firstHeaderRow="1" firstDataRow="1" firstDataCol="1"/>
  <pivotFields count="12">
    <pivotField showAll="0"/>
    <pivotField axis="axisRow" showAll="0">
      <items count="7">
        <item x="4"/>
        <item x="3"/>
        <item x="5"/>
        <item x="1"/>
        <item x="2"/>
        <item x="0"/>
        <item t="default"/>
      </items>
    </pivotField>
    <pivotField showAll="0"/>
    <pivotField showAll="0"/>
    <pivotField showAll="0"/>
    <pivotField numFmtId="22" showAll="0"/>
    <pivotField numFmtId="14" showAll="0"/>
    <pivotField showAll="0"/>
    <pivotField dataField="1"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VALOR_SIN_IMPUEST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A3A-E1FE-485B-B71A-B3ECBB4FF369}">
  <dimension ref="A1:I98"/>
  <sheetViews>
    <sheetView tabSelected="1" topLeftCell="A73" workbookViewId="0">
      <selection activeCell="E83" sqref="E83"/>
    </sheetView>
  </sheetViews>
  <sheetFormatPr baseColWidth="10" defaultRowHeight="15" x14ac:dyDescent="0.25"/>
  <cols>
    <col min="3" max="3" width="28.7109375" bestFit="1" customWidth="1"/>
    <col min="4" max="4" width="28.42578125" bestFit="1" customWidth="1"/>
    <col min="5" max="5" width="22.140625" customWidth="1"/>
    <col min="8" max="8" width="38.140625" customWidth="1"/>
    <col min="9" max="9" width="12" bestFit="1" customWidth="1"/>
  </cols>
  <sheetData>
    <row r="1" spans="1:5" x14ac:dyDescent="0.25">
      <c r="A1" t="s">
        <v>14</v>
      </c>
      <c r="B1" t="s">
        <v>13</v>
      </c>
      <c r="C1" t="s">
        <v>2</v>
      </c>
      <c r="D1" t="s">
        <v>6</v>
      </c>
      <c r="E1" t="s">
        <v>0</v>
      </c>
    </row>
    <row r="2" spans="1:5" x14ac:dyDescent="0.25">
      <c r="A2">
        <v>2026</v>
      </c>
      <c r="B2" t="s">
        <v>15</v>
      </c>
      <c r="C2" t="s">
        <v>1</v>
      </c>
      <c r="D2" s="4" t="s">
        <v>10</v>
      </c>
      <c r="E2" s="3">
        <v>85495.516999998275</v>
      </c>
    </row>
    <row r="3" spans="1:5" x14ac:dyDescent="0.25">
      <c r="A3">
        <v>2026</v>
      </c>
      <c r="B3" t="s">
        <v>15</v>
      </c>
      <c r="C3" t="s">
        <v>3</v>
      </c>
      <c r="D3" s="4" t="s">
        <v>10</v>
      </c>
      <c r="E3" s="3">
        <v>92851.959499999793</v>
      </c>
    </row>
    <row r="4" spans="1:5" x14ac:dyDescent="0.25">
      <c r="A4">
        <v>2026</v>
      </c>
      <c r="B4" t="s">
        <v>15</v>
      </c>
      <c r="C4" t="s">
        <v>4</v>
      </c>
      <c r="D4" s="4" t="s">
        <v>10</v>
      </c>
      <c r="E4" s="3">
        <v>133348.79079999981</v>
      </c>
    </row>
    <row r="5" spans="1:5" x14ac:dyDescent="0.25">
      <c r="A5">
        <v>2026</v>
      </c>
      <c r="B5" t="s">
        <v>15</v>
      </c>
      <c r="C5" t="s">
        <v>5</v>
      </c>
      <c r="D5" s="4" t="s">
        <v>10</v>
      </c>
      <c r="E5" s="3">
        <v>249594.42229999453</v>
      </c>
    </row>
    <row r="6" spans="1:5" x14ac:dyDescent="0.25">
      <c r="A6">
        <v>2026</v>
      </c>
      <c r="B6" t="s">
        <v>15</v>
      </c>
      <c r="C6" t="s">
        <v>7</v>
      </c>
      <c r="D6" s="4" t="s">
        <v>10</v>
      </c>
      <c r="E6" s="3">
        <v>721989.16590005404</v>
      </c>
    </row>
    <row r="7" spans="1:5" x14ac:dyDescent="0.25">
      <c r="A7">
        <v>2026</v>
      </c>
      <c r="B7" t="s">
        <v>15</v>
      </c>
      <c r="C7" t="s">
        <v>8</v>
      </c>
      <c r="D7" s="4" t="s">
        <v>10</v>
      </c>
      <c r="E7" s="3">
        <v>189198.49</v>
      </c>
    </row>
    <row r="8" spans="1:5" x14ac:dyDescent="0.25">
      <c r="A8">
        <v>2026</v>
      </c>
      <c r="B8" t="s">
        <v>15</v>
      </c>
      <c r="C8" t="s">
        <v>1</v>
      </c>
      <c r="D8" s="4" t="s">
        <v>11</v>
      </c>
      <c r="E8" s="3">
        <f>82144.7541000007+1717.24-2117.49+518.22</f>
        <v>82262.724100000705</v>
      </c>
    </row>
    <row r="9" spans="1:5" x14ac:dyDescent="0.25">
      <c r="A9">
        <v>2026</v>
      </c>
      <c r="B9" t="s">
        <v>15</v>
      </c>
      <c r="C9" t="s">
        <v>3</v>
      </c>
      <c r="D9" s="4" t="s">
        <v>11</v>
      </c>
      <c r="E9" s="3">
        <f>86154.2921000005-7911.64+518.22</f>
        <v>78760.872100000503</v>
      </c>
    </row>
    <row r="10" spans="1:5" x14ac:dyDescent="0.25">
      <c r="A10">
        <v>2026</v>
      </c>
      <c r="B10" t="s">
        <v>15</v>
      </c>
      <c r="C10" t="s">
        <v>4</v>
      </c>
      <c r="D10" s="4" t="s">
        <v>11</v>
      </c>
      <c r="E10" s="3">
        <f>112394.047200008+9333.05-29058.37+518.22</f>
        <v>93186.947200008013</v>
      </c>
    </row>
    <row r="11" spans="1:5" x14ac:dyDescent="0.25">
      <c r="A11">
        <v>2026</v>
      </c>
      <c r="B11" t="s">
        <v>15</v>
      </c>
      <c r="C11" t="s">
        <v>5</v>
      </c>
      <c r="D11" s="4" t="s">
        <v>11</v>
      </c>
      <c r="E11" s="3">
        <f>242344.659800007-38629.6+518.22</f>
        <v>204233.279800007</v>
      </c>
    </row>
    <row r="12" spans="1:5" x14ac:dyDescent="0.25">
      <c r="A12">
        <v>2026</v>
      </c>
      <c r="B12" t="s">
        <v>15</v>
      </c>
      <c r="C12" t="s">
        <v>7</v>
      </c>
      <c r="D12" s="4" t="s">
        <v>11</v>
      </c>
      <c r="E12" s="3">
        <f>768336.29419995+1306.54-261994.86+518.22+518.22</f>
        <v>508684.41419994994</v>
      </c>
    </row>
    <row r="13" spans="1:5" x14ac:dyDescent="0.25">
      <c r="A13">
        <v>2026</v>
      </c>
      <c r="B13" t="s">
        <v>15</v>
      </c>
      <c r="C13" t="s">
        <v>8</v>
      </c>
      <c r="D13" s="4" t="s">
        <v>11</v>
      </c>
      <c r="E13" s="3">
        <v>156678.5</v>
      </c>
    </row>
    <row r="14" spans="1:5" x14ac:dyDescent="0.25">
      <c r="A14">
        <v>2026</v>
      </c>
      <c r="B14" t="s">
        <v>15</v>
      </c>
      <c r="C14" t="s">
        <v>1</v>
      </c>
      <c r="D14" s="4" t="s">
        <v>9</v>
      </c>
      <c r="E14" s="3">
        <v>10670.3213</v>
      </c>
    </row>
    <row r="15" spans="1:5" x14ac:dyDescent="0.25">
      <c r="A15">
        <v>2026</v>
      </c>
      <c r="B15" t="s">
        <v>15</v>
      </c>
      <c r="C15" t="s">
        <v>3</v>
      </c>
      <c r="D15" s="4" t="s">
        <v>9</v>
      </c>
      <c r="E15" s="3">
        <v>11697.601199999999</v>
      </c>
    </row>
    <row r="16" spans="1:5" x14ac:dyDescent="0.25">
      <c r="A16">
        <v>2026</v>
      </c>
      <c r="B16" t="s">
        <v>15</v>
      </c>
      <c r="C16" t="s">
        <v>4</v>
      </c>
      <c r="D16" s="4" t="s">
        <v>9</v>
      </c>
      <c r="E16" s="3">
        <v>23058.0075</v>
      </c>
    </row>
    <row r="17" spans="1:7" x14ac:dyDescent="0.25">
      <c r="A17">
        <v>2026</v>
      </c>
      <c r="B17" t="s">
        <v>15</v>
      </c>
      <c r="C17" t="s">
        <v>5</v>
      </c>
      <c r="D17" s="4" t="s">
        <v>9</v>
      </c>
      <c r="E17" s="3">
        <v>29808.748900000002</v>
      </c>
    </row>
    <row r="18" spans="1:7" x14ac:dyDescent="0.25">
      <c r="A18">
        <v>2026</v>
      </c>
      <c r="B18" t="s">
        <v>15</v>
      </c>
      <c r="C18" t="s">
        <v>7</v>
      </c>
      <c r="D18" s="4" t="s">
        <v>9</v>
      </c>
      <c r="E18" s="3">
        <v>119133.63</v>
      </c>
    </row>
    <row r="19" spans="1:7" x14ac:dyDescent="0.25">
      <c r="A19">
        <v>2026</v>
      </c>
      <c r="B19" t="s">
        <v>15</v>
      </c>
      <c r="C19" t="s">
        <v>8</v>
      </c>
      <c r="D19" s="4" t="s">
        <v>9</v>
      </c>
      <c r="E19" s="3">
        <v>37362.78</v>
      </c>
    </row>
    <row r="20" spans="1:7" x14ac:dyDescent="0.25">
      <c r="A20">
        <v>2026</v>
      </c>
      <c r="B20" t="s">
        <v>15</v>
      </c>
      <c r="C20" t="s">
        <v>1</v>
      </c>
      <c r="D20" s="4" t="s">
        <v>12</v>
      </c>
      <c r="E20" s="3">
        <v>0</v>
      </c>
      <c r="G20" s="1"/>
    </row>
    <row r="21" spans="1:7" x14ac:dyDescent="0.25">
      <c r="A21">
        <v>2026</v>
      </c>
      <c r="B21" t="s">
        <v>15</v>
      </c>
      <c r="C21" t="s">
        <v>3</v>
      </c>
      <c r="D21" s="4" t="s">
        <v>12</v>
      </c>
      <c r="E21" s="3">
        <v>711.53110000000004</v>
      </c>
      <c r="G21" s="1"/>
    </row>
    <row r="22" spans="1:7" x14ac:dyDescent="0.25">
      <c r="A22">
        <v>2026</v>
      </c>
      <c r="B22" t="s">
        <v>15</v>
      </c>
      <c r="C22" t="s">
        <v>4</v>
      </c>
      <c r="D22" s="4" t="s">
        <v>12</v>
      </c>
      <c r="E22" s="3">
        <v>2363.2370000000001</v>
      </c>
      <c r="G22" s="1"/>
    </row>
    <row r="23" spans="1:7" x14ac:dyDescent="0.25">
      <c r="A23">
        <v>2026</v>
      </c>
      <c r="B23" t="s">
        <v>15</v>
      </c>
      <c r="C23" t="s">
        <v>5</v>
      </c>
      <c r="D23" s="4" t="s">
        <v>12</v>
      </c>
      <c r="E23" s="3">
        <v>4434.2187999999996</v>
      </c>
      <c r="G23" s="1"/>
    </row>
    <row r="24" spans="1:7" x14ac:dyDescent="0.25">
      <c r="A24">
        <v>2026</v>
      </c>
      <c r="B24" t="s">
        <v>15</v>
      </c>
      <c r="C24" t="s">
        <v>7</v>
      </c>
      <c r="D24" s="4" t="s">
        <v>12</v>
      </c>
      <c r="E24" s="3">
        <v>32310.115500000007</v>
      </c>
    </row>
    <row r="25" spans="1:7" x14ac:dyDescent="0.25">
      <c r="A25">
        <v>2026</v>
      </c>
      <c r="B25" t="s">
        <v>15</v>
      </c>
      <c r="C25" t="s">
        <v>8</v>
      </c>
      <c r="D25" s="4" t="s">
        <v>12</v>
      </c>
      <c r="E25" s="3">
        <v>0</v>
      </c>
    </row>
    <row r="26" spans="1:7" x14ac:dyDescent="0.25">
      <c r="A26">
        <v>2026</v>
      </c>
      <c r="B26" t="s">
        <v>16</v>
      </c>
      <c r="C26" t="s">
        <v>1</v>
      </c>
      <c r="D26" s="4" t="s">
        <v>10</v>
      </c>
      <c r="E26" s="3">
        <v>77493.450099998765</v>
      </c>
    </row>
    <row r="27" spans="1:7" x14ac:dyDescent="0.25">
      <c r="A27">
        <v>2026</v>
      </c>
      <c r="B27" t="s">
        <v>16</v>
      </c>
      <c r="C27" t="s">
        <v>3</v>
      </c>
      <c r="D27" s="4" t="s">
        <v>10</v>
      </c>
      <c r="E27" s="3">
        <v>76674.18439999946</v>
      </c>
    </row>
    <row r="28" spans="1:7" x14ac:dyDescent="0.25">
      <c r="A28">
        <v>2026</v>
      </c>
      <c r="B28" t="s">
        <v>16</v>
      </c>
      <c r="C28" t="s">
        <v>4</v>
      </c>
      <c r="D28" s="4" t="s">
        <v>10</v>
      </c>
      <c r="E28" s="3">
        <v>145359.8761000009</v>
      </c>
    </row>
    <row r="29" spans="1:7" x14ac:dyDescent="0.25">
      <c r="A29">
        <v>2026</v>
      </c>
      <c r="B29" t="s">
        <v>16</v>
      </c>
      <c r="C29" t="s">
        <v>5</v>
      </c>
      <c r="D29" s="4" t="s">
        <v>10</v>
      </c>
      <c r="E29" s="3">
        <v>270902.51149999269</v>
      </c>
    </row>
    <row r="30" spans="1:7" x14ac:dyDescent="0.25">
      <c r="A30">
        <v>2026</v>
      </c>
      <c r="B30" t="s">
        <v>16</v>
      </c>
      <c r="C30" t="s">
        <v>7</v>
      </c>
      <c r="D30" s="4" t="s">
        <v>10</v>
      </c>
      <c r="E30" s="3">
        <v>662560.93030006299</v>
      </c>
    </row>
    <row r="31" spans="1:7" x14ac:dyDescent="0.25">
      <c r="A31">
        <v>2026</v>
      </c>
      <c r="B31" t="s">
        <v>16</v>
      </c>
      <c r="C31" t="s">
        <v>8</v>
      </c>
      <c r="D31" s="4" t="s">
        <v>10</v>
      </c>
      <c r="E31" s="3">
        <v>182425.68</v>
      </c>
    </row>
    <row r="32" spans="1:7" x14ac:dyDescent="0.25">
      <c r="A32">
        <v>2026</v>
      </c>
      <c r="B32" t="s">
        <v>16</v>
      </c>
      <c r="C32" t="s">
        <v>1</v>
      </c>
      <c r="D32" s="4" t="s">
        <v>11</v>
      </c>
      <c r="E32" s="3">
        <f>74105.82-10639.4+2144.48</f>
        <v>65610.900000000009</v>
      </c>
    </row>
    <row r="33" spans="1:5" x14ac:dyDescent="0.25">
      <c r="A33">
        <v>2026</v>
      </c>
      <c r="B33" t="s">
        <v>16</v>
      </c>
      <c r="C33" t="s">
        <v>3</v>
      </c>
      <c r="D33" s="4" t="s">
        <v>11</v>
      </c>
      <c r="E33" s="3">
        <f>71360.87-7336.23-22.71</f>
        <v>64001.93</v>
      </c>
    </row>
    <row r="34" spans="1:5" x14ac:dyDescent="0.25">
      <c r="A34">
        <v>2026</v>
      </c>
      <c r="B34" t="s">
        <v>16</v>
      </c>
      <c r="C34" t="s">
        <v>4</v>
      </c>
      <c r="D34" s="4" t="s">
        <v>11</v>
      </c>
      <c r="E34" s="3">
        <f>123152.46+13757.68</f>
        <v>136910.14000000001</v>
      </c>
    </row>
    <row r="35" spans="1:5" x14ac:dyDescent="0.25">
      <c r="A35">
        <v>2026</v>
      </c>
      <c r="B35" t="s">
        <v>16</v>
      </c>
      <c r="C35" t="s">
        <v>5</v>
      </c>
      <c r="D35" s="4" t="s">
        <v>11</v>
      </c>
      <c r="E35" s="3">
        <f>264713.36-35403.87</f>
        <v>229309.49</v>
      </c>
    </row>
    <row r="36" spans="1:5" x14ac:dyDescent="0.25">
      <c r="A36">
        <v>2026</v>
      </c>
      <c r="B36" t="s">
        <v>16</v>
      </c>
      <c r="C36" t="s">
        <v>7</v>
      </c>
      <c r="D36" s="4" t="s">
        <v>11</v>
      </c>
      <c r="E36" s="3">
        <f>718266.63-199857.49-71.44</f>
        <v>518337.7</v>
      </c>
    </row>
    <row r="37" spans="1:5" x14ac:dyDescent="0.25">
      <c r="A37">
        <v>2026</v>
      </c>
      <c r="B37" t="s">
        <v>16</v>
      </c>
      <c r="C37" t="s">
        <v>8</v>
      </c>
      <c r="D37" s="4" t="s">
        <v>11</v>
      </c>
      <c r="E37" s="3">
        <f>151210.75</f>
        <v>151210.75</v>
      </c>
    </row>
    <row r="38" spans="1:5" x14ac:dyDescent="0.25">
      <c r="A38">
        <v>2026</v>
      </c>
      <c r="B38" t="s">
        <v>16</v>
      </c>
      <c r="C38" t="s">
        <v>1</v>
      </c>
      <c r="D38" s="4" t="s">
        <v>9</v>
      </c>
      <c r="E38" s="3">
        <v>10531.8115</v>
      </c>
    </row>
    <row r="39" spans="1:5" x14ac:dyDescent="0.25">
      <c r="A39">
        <v>2026</v>
      </c>
      <c r="B39" t="s">
        <v>16</v>
      </c>
      <c r="C39" t="s">
        <v>3</v>
      </c>
      <c r="D39" s="4" t="s">
        <v>9</v>
      </c>
      <c r="E39" s="3">
        <v>11559.706</v>
      </c>
    </row>
    <row r="40" spans="1:5" x14ac:dyDescent="0.25">
      <c r="A40">
        <v>2026</v>
      </c>
      <c r="B40" t="s">
        <v>16</v>
      </c>
      <c r="C40" t="s">
        <v>4</v>
      </c>
      <c r="D40" s="4" t="s">
        <v>9</v>
      </c>
      <c r="E40" s="3">
        <v>22468.162499999999</v>
      </c>
    </row>
    <row r="41" spans="1:5" x14ac:dyDescent="0.25">
      <c r="A41">
        <v>2026</v>
      </c>
      <c r="B41" t="s">
        <v>16</v>
      </c>
      <c r="C41" t="s">
        <v>5</v>
      </c>
      <c r="D41" s="4" t="s">
        <v>9</v>
      </c>
      <c r="E41">
        <v>29646.756300000001</v>
      </c>
    </row>
    <row r="42" spans="1:5" x14ac:dyDescent="0.25">
      <c r="A42">
        <v>2026</v>
      </c>
      <c r="B42" t="s">
        <v>16</v>
      </c>
      <c r="C42" t="s">
        <v>7</v>
      </c>
      <c r="D42" s="4" t="s">
        <v>9</v>
      </c>
      <c r="E42" s="3">
        <v>115484.54</v>
      </c>
    </row>
    <row r="43" spans="1:5" x14ac:dyDescent="0.25">
      <c r="A43">
        <v>2026</v>
      </c>
      <c r="B43" t="s">
        <v>16</v>
      </c>
      <c r="C43" t="s">
        <v>8</v>
      </c>
      <c r="D43" s="4" t="s">
        <v>9</v>
      </c>
      <c r="E43" s="3">
        <v>39868.39</v>
      </c>
    </row>
    <row r="44" spans="1:5" x14ac:dyDescent="0.25">
      <c r="A44">
        <v>2026</v>
      </c>
      <c r="B44" t="s">
        <v>16</v>
      </c>
      <c r="C44" t="s">
        <v>1</v>
      </c>
      <c r="D44" s="4" t="s">
        <v>12</v>
      </c>
      <c r="E44" s="3">
        <v>0</v>
      </c>
    </row>
    <row r="45" spans="1:5" x14ac:dyDescent="0.25">
      <c r="A45">
        <v>2026</v>
      </c>
      <c r="B45" t="s">
        <v>16</v>
      </c>
      <c r="C45" t="s">
        <v>3</v>
      </c>
      <c r="D45" s="4" t="s">
        <v>12</v>
      </c>
      <c r="E45" s="3">
        <v>584.46839999999997</v>
      </c>
    </row>
    <row r="46" spans="1:5" x14ac:dyDescent="0.25">
      <c r="A46">
        <v>2026</v>
      </c>
      <c r="B46" t="s">
        <v>16</v>
      </c>
      <c r="C46" t="s">
        <v>4</v>
      </c>
      <c r="D46" s="4" t="s">
        <v>12</v>
      </c>
      <c r="E46" s="3">
        <v>3877.0530000000003</v>
      </c>
    </row>
    <row r="47" spans="1:5" x14ac:dyDescent="0.25">
      <c r="A47">
        <v>2026</v>
      </c>
      <c r="B47" t="s">
        <v>16</v>
      </c>
      <c r="C47" t="s">
        <v>5</v>
      </c>
      <c r="D47" s="4" t="s">
        <v>12</v>
      </c>
      <c r="E47" s="3">
        <v>7465.2200999999995</v>
      </c>
    </row>
    <row r="48" spans="1:5" x14ac:dyDescent="0.25">
      <c r="A48">
        <v>2026</v>
      </c>
      <c r="B48" t="s">
        <v>16</v>
      </c>
      <c r="C48" t="s">
        <v>7</v>
      </c>
      <c r="D48" s="4" t="s">
        <v>12</v>
      </c>
      <c r="E48" s="3">
        <v>19470.09</v>
      </c>
    </row>
    <row r="49" spans="1:5" x14ac:dyDescent="0.25">
      <c r="A49">
        <v>2026</v>
      </c>
      <c r="B49" t="s">
        <v>16</v>
      </c>
      <c r="C49" t="s">
        <v>8</v>
      </c>
      <c r="D49" s="4" t="s">
        <v>12</v>
      </c>
      <c r="E49" s="3">
        <v>0</v>
      </c>
    </row>
    <row r="50" spans="1:5" x14ac:dyDescent="0.25">
      <c r="A50">
        <v>2026</v>
      </c>
      <c r="B50" t="s">
        <v>17</v>
      </c>
      <c r="C50" t="s">
        <v>1</v>
      </c>
      <c r="D50" s="4" t="s">
        <v>10</v>
      </c>
      <c r="E50" s="3">
        <v>94603.869499997993</v>
      </c>
    </row>
    <row r="51" spans="1:5" x14ac:dyDescent="0.25">
      <c r="A51">
        <v>2026</v>
      </c>
      <c r="B51" t="s">
        <v>17</v>
      </c>
      <c r="C51" t="s">
        <v>3</v>
      </c>
      <c r="D51" s="4" t="s">
        <v>10</v>
      </c>
      <c r="E51" s="3">
        <v>95555.474599999463</v>
      </c>
    </row>
    <row r="52" spans="1:5" x14ac:dyDescent="0.25">
      <c r="A52">
        <v>2026</v>
      </c>
      <c r="B52" t="s">
        <v>17</v>
      </c>
      <c r="C52" t="s">
        <v>4</v>
      </c>
      <c r="D52" s="4" t="s">
        <v>10</v>
      </c>
      <c r="E52" s="3">
        <v>144129.24850000211</v>
      </c>
    </row>
    <row r="53" spans="1:5" x14ac:dyDescent="0.25">
      <c r="A53">
        <v>2026</v>
      </c>
      <c r="B53" t="s">
        <v>17</v>
      </c>
      <c r="C53" t="s">
        <v>5</v>
      </c>
      <c r="D53" s="4" t="s">
        <v>10</v>
      </c>
      <c r="E53" s="3">
        <v>269266.57749999734</v>
      </c>
    </row>
    <row r="54" spans="1:5" x14ac:dyDescent="0.25">
      <c r="A54">
        <v>2026</v>
      </c>
      <c r="B54" t="s">
        <v>17</v>
      </c>
      <c r="C54" t="s">
        <v>7</v>
      </c>
      <c r="D54" s="4" t="s">
        <v>10</v>
      </c>
      <c r="E54" s="3">
        <f>974682.21-E55</f>
        <v>743534.1</v>
      </c>
    </row>
    <row r="55" spans="1:5" x14ac:dyDescent="0.25">
      <c r="A55">
        <v>2026</v>
      </c>
      <c r="B55" t="s">
        <v>17</v>
      </c>
      <c r="C55" t="s">
        <v>8</v>
      </c>
      <c r="D55" s="4" t="s">
        <v>10</v>
      </c>
      <c r="E55" s="3">
        <v>231148.11</v>
      </c>
    </row>
    <row r="56" spans="1:5" x14ac:dyDescent="0.25">
      <c r="A56">
        <v>2026</v>
      </c>
      <c r="B56" t="s">
        <v>17</v>
      </c>
      <c r="C56" t="s">
        <v>1</v>
      </c>
      <c r="D56" s="4" t="s">
        <v>11</v>
      </c>
      <c r="E56" s="3">
        <f>92088.5200000013-3346.57-2139.59</f>
        <v>86602.360000001296</v>
      </c>
    </row>
    <row r="57" spans="1:5" x14ac:dyDescent="0.25">
      <c r="A57">
        <v>2026</v>
      </c>
      <c r="B57" t="s">
        <v>17</v>
      </c>
      <c r="C57" t="s">
        <v>3</v>
      </c>
      <c r="D57" s="4" t="s">
        <v>11</v>
      </c>
      <c r="E57" s="3">
        <f>88799.8219000021-10816.63+922.13</f>
        <v>78905.321900002105</v>
      </c>
    </row>
    <row r="58" spans="1:5" x14ac:dyDescent="0.25">
      <c r="A58">
        <v>2026</v>
      </c>
      <c r="B58" t="s">
        <v>17</v>
      </c>
      <c r="C58" t="s">
        <v>4</v>
      </c>
      <c r="D58" s="4" t="s">
        <v>11</v>
      </c>
      <c r="E58" s="3">
        <f>123453.409800006-6762.48+10903.29</f>
        <v>127594.21980000602</v>
      </c>
    </row>
    <row r="59" spans="1:5" x14ac:dyDescent="0.25">
      <c r="A59">
        <v>2026</v>
      </c>
      <c r="B59" t="s">
        <v>17</v>
      </c>
      <c r="C59" t="s">
        <v>5</v>
      </c>
      <c r="D59" s="4" t="s">
        <v>11</v>
      </c>
      <c r="E59" s="3">
        <f>258998.120700007-42993.07</f>
        <v>216005.05070000701</v>
      </c>
    </row>
    <row r="60" spans="1:5" x14ac:dyDescent="0.25">
      <c r="A60">
        <v>2026</v>
      </c>
      <c r="B60" t="s">
        <v>17</v>
      </c>
      <c r="C60" t="s">
        <v>7</v>
      </c>
      <c r="D60" s="4" t="s">
        <v>11</v>
      </c>
      <c r="E60" s="2">
        <f>798347.403900013-205278.21+3798.55</f>
        <v>596867.74390001304</v>
      </c>
    </row>
    <row r="61" spans="1:5" x14ac:dyDescent="0.25">
      <c r="A61">
        <v>2026</v>
      </c>
      <c r="B61" t="s">
        <v>17</v>
      </c>
      <c r="C61" t="s">
        <v>8</v>
      </c>
      <c r="D61" s="4" t="s">
        <v>11</v>
      </c>
      <c r="E61" s="3">
        <v>192704.66</v>
      </c>
    </row>
    <row r="62" spans="1:5" x14ac:dyDescent="0.25">
      <c r="A62">
        <v>2026</v>
      </c>
      <c r="B62" t="s">
        <v>17</v>
      </c>
      <c r="C62" t="s">
        <v>1</v>
      </c>
      <c r="D62" s="4" t="s">
        <v>9</v>
      </c>
      <c r="E62" s="3">
        <v>10557.191500000001</v>
      </c>
    </row>
    <row r="63" spans="1:5" x14ac:dyDescent="0.25">
      <c r="A63">
        <v>2026</v>
      </c>
      <c r="B63" t="s">
        <v>17</v>
      </c>
      <c r="C63" t="s">
        <v>3</v>
      </c>
      <c r="D63" s="4" t="s">
        <v>9</v>
      </c>
      <c r="E63" s="3">
        <v>11532.108</v>
      </c>
    </row>
    <row r="64" spans="1:5" x14ac:dyDescent="0.25">
      <c r="A64">
        <v>2026</v>
      </c>
      <c r="B64" t="s">
        <v>17</v>
      </c>
      <c r="C64" t="s">
        <v>4</v>
      </c>
      <c r="D64" s="4" t="s">
        <v>9</v>
      </c>
      <c r="E64" s="3">
        <v>23677.612500000003</v>
      </c>
    </row>
    <row r="65" spans="1:5" x14ac:dyDescent="0.25">
      <c r="A65">
        <v>2026</v>
      </c>
      <c r="B65" t="s">
        <v>17</v>
      </c>
      <c r="C65" t="s">
        <v>5</v>
      </c>
      <c r="D65" s="4" t="s">
        <v>9</v>
      </c>
      <c r="E65">
        <v>28823.721600000004</v>
      </c>
    </row>
    <row r="66" spans="1:5" x14ac:dyDescent="0.25">
      <c r="A66">
        <v>2026</v>
      </c>
      <c r="B66" t="s">
        <v>17</v>
      </c>
      <c r="C66" t="s">
        <v>7</v>
      </c>
      <c r="D66" s="4" t="s">
        <v>9</v>
      </c>
      <c r="E66" s="3">
        <v>111472.32000000001</v>
      </c>
    </row>
    <row r="67" spans="1:5" x14ac:dyDescent="0.25">
      <c r="A67">
        <v>2026</v>
      </c>
      <c r="B67" t="s">
        <v>17</v>
      </c>
      <c r="C67" t="s">
        <v>8</v>
      </c>
      <c r="D67" s="4" t="s">
        <v>9</v>
      </c>
      <c r="E67" s="3">
        <v>41922.99</v>
      </c>
    </row>
    <row r="68" spans="1:5" x14ac:dyDescent="0.25">
      <c r="A68">
        <v>2026</v>
      </c>
      <c r="B68" t="s">
        <v>17</v>
      </c>
      <c r="C68" t="s">
        <v>1</v>
      </c>
      <c r="D68" s="4" t="s">
        <v>12</v>
      </c>
      <c r="E68" s="3">
        <v>0</v>
      </c>
    </row>
    <row r="69" spans="1:5" x14ac:dyDescent="0.25">
      <c r="A69">
        <v>2026</v>
      </c>
      <c r="B69" t="s">
        <v>17</v>
      </c>
      <c r="C69" t="s">
        <v>3</v>
      </c>
      <c r="D69" s="4" t="s">
        <v>12</v>
      </c>
      <c r="E69" s="3">
        <v>736.35030000000006</v>
      </c>
    </row>
    <row r="70" spans="1:5" x14ac:dyDescent="0.25">
      <c r="A70">
        <v>2026</v>
      </c>
      <c r="B70" t="s">
        <v>17</v>
      </c>
      <c r="C70" t="s">
        <v>4</v>
      </c>
      <c r="D70" s="4" t="s">
        <v>12</v>
      </c>
      <c r="E70" s="3">
        <v>5370.5995000000012</v>
      </c>
    </row>
    <row r="71" spans="1:5" x14ac:dyDescent="0.25">
      <c r="A71">
        <v>2026</v>
      </c>
      <c r="B71" t="s">
        <v>17</v>
      </c>
      <c r="C71" t="s">
        <v>5</v>
      </c>
      <c r="D71" s="4" t="s">
        <v>12</v>
      </c>
      <c r="E71" s="3">
        <v>6051.3029999999999</v>
      </c>
    </row>
    <row r="72" spans="1:5" x14ac:dyDescent="0.25">
      <c r="A72">
        <v>2026</v>
      </c>
      <c r="B72" t="s">
        <v>17</v>
      </c>
      <c r="C72" t="s">
        <v>7</v>
      </c>
      <c r="D72" s="4" t="s">
        <v>12</v>
      </c>
      <c r="E72" s="3">
        <v>17917.3999</v>
      </c>
    </row>
    <row r="73" spans="1:5" x14ac:dyDescent="0.25">
      <c r="A73">
        <v>2026</v>
      </c>
      <c r="B73" t="s">
        <v>17</v>
      </c>
      <c r="C73" t="s">
        <v>8</v>
      </c>
      <c r="D73" s="4" t="s">
        <v>12</v>
      </c>
      <c r="E73" s="3">
        <v>0</v>
      </c>
    </row>
    <row r="75" spans="1:5" x14ac:dyDescent="0.25">
      <c r="A75">
        <v>2026</v>
      </c>
      <c r="B75" t="s">
        <v>18</v>
      </c>
      <c r="C75" t="s">
        <v>1</v>
      </c>
      <c r="D75" s="4" t="s">
        <v>10</v>
      </c>
      <c r="E75" s="3">
        <v>80338.175099998902</v>
      </c>
    </row>
    <row r="76" spans="1:5" x14ac:dyDescent="0.25">
      <c r="A76">
        <v>2026</v>
      </c>
      <c r="B76" t="s">
        <v>18</v>
      </c>
      <c r="C76" t="s">
        <v>3</v>
      </c>
      <c r="D76" s="4" t="s">
        <v>10</v>
      </c>
      <c r="E76" s="3">
        <v>99054.254999999743</v>
      </c>
    </row>
    <row r="77" spans="1:5" x14ac:dyDescent="0.25">
      <c r="A77">
        <v>2026</v>
      </c>
      <c r="B77" t="s">
        <v>18</v>
      </c>
      <c r="C77" t="s">
        <v>4</v>
      </c>
      <c r="D77" s="4" t="s">
        <v>10</v>
      </c>
      <c r="E77" s="3">
        <v>140509.35320000048</v>
      </c>
    </row>
    <row r="78" spans="1:5" x14ac:dyDescent="0.25">
      <c r="A78">
        <v>2026</v>
      </c>
      <c r="B78" t="s">
        <v>18</v>
      </c>
      <c r="C78" t="s">
        <v>5</v>
      </c>
      <c r="D78" s="4" t="s">
        <v>10</v>
      </c>
      <c r="E78" s="3">
        <v>278723.60909999692</v>
      </c>
    </row>
    <row r="79" spans="1:5" x14ac:dyDescent="0.25">
      <c r="A79">
        <v>2026</v>
      </c>
      <c r="B79" t="s">
        <v>18</v>
      </c>
      <c r="C79" t="s">
        <v>7</v>
      </c>
      <c r="D79" s="4" t="s">
        <v>10</v>
      </c>
      <c r="E79" s="3">
        <v>760354.35000000009</v>
      </c>
    </row>
    <row r="80" spans="1:5" x14ac:dyDescent="0.25">
      <c r="A80">
        <v>2026</v>
      </c>
      <c r="B80" t="s">
        <v>18</v>
      </c>
      <c r="C80" t="s">
        <v>8</v>
      </c>
      <c r="D80" s="4" t="s">
        <v>10</v>
      </c>
      <c r="E80" s="3">
        <v>233588.95</v>
      </c>
    </row>
    <row r="81" spans="1:9" x14ac:dyDescent="0.25">
      <c r="A81">
        <v>2026</v>
      </c>
      <c r="B81" t="s">
        <v>18</v>
      </c>
      <c r="C81" t="s">
        <v>1</v>
      </c>
      <c r="D81" s="4" t="s">
        <v>11</v>
      </c>
      <c r="E81" s="3">
        <f>77110.0594999998-2824.51</f>
        <v>74285.549499999805</v>
      </c>
      <c r="H81" s="1" t="s">
        <v>72</v>
      </c>
      <c r="I81" s="8">
        <v>2824.51</v>
      </c>
    </row>
    <row r="82" spans="1:9" x14ac:dyDescent="0.25">
      <c r="A82">
        <v>2026</v>
      </c>
      <c r="B82" t="s">
        <v>18</v>
      </c>
      <c r="C82" t="s">
        <v>3</v>
      </c>
      <c r="D82" s="4" t="s">
        <v>11</v>
      </c>
      <c r="E82" s="3">
        <f>92389.6891999996-8367.71</f>
        <v>84021.979199999594</v>
      </c>
      <c r="H82" s="1" t="s">
        <v>64</v>
      </c>
      <c r="I82" s="8">
        <v>8367.7099999999991</v>
      </c>
    </row>
    <row r="83" spans="1:9" x14ac:dyDescent="0.25">
      <c r="A83">
        <v>2026</v>
      </c>
      <c r="B83" t="s">
        <v>18</v>
      </c>
      <c r="C83" t="s">
        <v>4</v>
      </c>
      <c r="D83" s="4" t="s">
        <v>11</v>
      </c>
      <c r="E83" s="3">
        <f>118474.425000008-10924.4</f>
        <v>107550.02500000801</v>
      </c>
      <c r="H83" s="1" t="s">
        <v>8</v>
      </c>
      <c r="I83" s="8">
        <v>19548.3</v>
      </c>
    </row>
    <row r="84" spans="1:9" x14ac:dyDescent="0.25">
      <c r="A84">
        <v>2026</v>
      </c>
      <c r="B84" t="s">
        <v>18</v>
      </c>
      <c r="C84" t="s">
        <v>5</v>
      </c>
      <c r="D84" s="4" t="s">
        <v>11</v>
      </c>
      <c r="E84" s="3">
        <v>266321.34289999877</v>
      </c>
      <c r="H84" s="1" t="s">
        <v>41</v>
      </c>
      <c r="I84" s="8">
        <v>10924.4</v>
      </c>
    </row>
    <row r="85" spans="1:9" x14ac:dyDescent="0.25">
      <c r="A85">
        <v>2026</v>
      </c>
      <c r="B85" t="s">
        <v>18</v>
      </c>
      <c r="C85" t="s">
        <v>7</v>
      </c>
      <c r="D85" s="4" t="s">
        <v>11</v>
      </c>
      <c r="E85" s="2">
        <v>827360.88</v>
      </c>
      <c r="H85" s="1" t="s">
        <v>57</v>
      </c>
      <c r="I85" s="8">
        <v>3860.29</v>
      </c>
    </row>
    <row r="86" spans="1:9" x14ac:dyDescent="0.25">
      <c r="A86">
        <v>2026</v>
      </c>
      <c r="B86" t="s">
        <v>18</v>
      </c>
      <c r="C86" t="s">
        <v>8</v>
      </c>
      <c r="D86" s="4" t="s">
        <v>11</v>
      </c>
      <c r="E86" s="3">
        <v>179466.4</v>
      </c>
      <c r="H86" s="1" t="s">
        <v>31</v>
      </c>
      <c r="I86" s="8">
        <v>246409.71999999997</v>
      </c>
    </row>
    <row r="87" spans="1:9" x14ac:dyDescent="0.25">
      <c r="A87">
        <v>2026</v>
      </c>
      <c r="B87" t="s">
        <v>18</v>
      </c>
      <c r="C87" t="s">
        <v>1</v>
      </c>
      <c r="D87" s="4" t="s">
        <v>9</v>
      </c>
      <c r="E87" s="3"/>
    </row>
    <row r="88" spans="1:9" x14ac:dyDescent="0.25">
      <c r="A88">
        <v>2026</v>
      </c>
      <c r="B88" t="s">
        <v>18</v>
      </c>
      <c r="C88" t="s">
        <v>3</v>
      </c>
      <c r="D88" s="4" t="s">
        <v>9</v>
      </c>
      <c r="E88" s="3"/>
    </row>
    <row r="89" spans="1:9" x14ac:dyDescent="0.25">
      <c r="A89">
        <v>2026</v>
      </c>
      <c r="B89" t="s">
        <v>18</v>
      </c>
      <c r="C89" t="s">
        <v>4</v>
      </c>
      <c r="D89" s="4" t="s">
        <v>9</v>
      </c>
      <c r="E89" s="3"/>
    </row>
    <row r="90" spans="1:9" x14ac:dyDescent="0.25">
      <c r="A90">
        <v>2026</v>
      </c>
      <c r="B90" t="s">
        <v>18</v>
      </c>
      <c r="C90" t="s">
        <v>5</v>
      </c>
      <c r="D90" s="4" t="s">
        <v>9</v>
      </c>
    </row>
    <row r="91" spans="1:9" x14ac:dyDescent="0.25">
      <c r="A91">
        <v>2026</v>
      </c>
      <c r="B91" t="s">
        <v>18</v>
      </c>
      <c r="C91" t="s">
        <v>7</v>
      </c>
      <c r="D91" s="4" t="s">
        <v>9</v>
      </c>
      <c r="E91" s="3"/>
    </row>
    <row r="92" spans="1:9" x14ac:dyDescent="0.25">
      <c r="A92">
        <v>2026</v>
      </c>
      <c r="B92" t="s">
        <v>18</v>
      </c>
      <c r="C92" t="s">
        <v>8</v>
      </c>
      <c r="D92" s="4" t="s">
        <v>9</v>
      </c>
      <c r="E92" s="3"/>
    </row>
    <row r="93" spans="1:9" x14ac:dyDescent="0.25">
      <c r="A93">
        <v>2026</v>
      </c>
      <c r="B93" t="s">
        <v>18</v>
      </c>
      <c r="C93" t="s">
        <v>1</v>
      </c>
      <c r="D93" s="4" t="s">
        <v>12</v>
      </c>
      <c r="E93" s="3"/>
    </row>
    <row r="94" spans="1:9" x14ac:dyDescent="0.25">
      <c r="A94">
        <v>2026</v>
      </c>
      <c r="B94" t="s">
        <v>18</v>
      </c>
      <c r="C94" t="s">
        <v>3</v>
      </c>
      <c r="D94" s="4" t="s">
        <v>12</v>
      </c>
      <c r="E94" s="3"/>
    </row>
    <row r="95" spans="1:9" x14ac:dyDescent="0.25">
      <c r="A95">
        <v>2026</v>
      </c>
      <c r="B95" t="s">
        <v>18</v>
      </c>
      <c r="C95" t="s">
        <v>4</v>
      </c>
      <c r="D95" s="4" t="s">
        <v>12</v>
      </c>
      <c r="E95" s="3"/>
    </row>
    <row r="96" spans="1:9" x14ac:dyDescent="0.25">
      <c r="A96">
        <v>2026</v>
      </c>
      <c r="B96" t="s">
        <v>18</v>
      </c>
      <c r="C96" t="s">
        <v>5</v>
      </c>
      <c r="D96" s="4" t="s">
        <v>12</v>
      </c>
      <c r="E96" s="3"/>
    </row>
    <row r="97" spans="1:5" x14ac:dyDescent="0.25">
      <c r="A97">
        <v>2026</v>
      </c>
      <c r="B97" t="s">
        <v>18</v>
      </c>
      <c r="C97" t="s">
        <v>7</v>
      </c>
      <c r="D97" s="4" t="s">
        <v>12</v>
      </c>
      <c r="E97" s="3"/>
    </row>
    <row r="98" spans="1:5" x14ac:dyDescent="0.25">
      <c r="A98">
        <v>2026</v>
      </c>
      <c r="B98" t="s">
        <v>18</v>
      </c>
      <c r="C98" t="s">
        <v>8</v>
      </c>
      <c r="D98" s="4" t="s">
        <v>12</v>
      </c>
      <c r="E98" s="3"/>
    </row>
  </sheetData>
  <autoFilter ref="C1:E25" xr:uid="{1A73EA3A-E1FE-485B-B71A-B3ECBB4FF369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1152E-4B8C-44C7-BA19-CA30B20B9E61}">
  <dimension ref="A3:B10"/>
  <sheetViews>
    <sheetView workbookViewId="0">
      <selection activeCell="A4" sqref="A4:B9"/>
    </sheetView>
  </sheetViews>
  <sheetFormatPr baseColWidth="10" defaultRowHeight="15" x14ac:dyDescent="0.25"/>
  <cols>
    <col min="1" max="1" width="61.85546875" bestFit="1" customWidth="1"/>
    <col min="2" max="2" width="30.85546875" bestFit="1" customWidth="1"/>
  </cols>
  <sheetData>
    <row r="3" spans="1:2" x14ac:dyDescent="0.25">
      <c r="A3" s="7" t="s">
        <v>287</v>
      </c>
      <c r="B3" t="s">
        <v>289</v>
      </c>
    </row>
    <row r="4" spans="1:2" x14ac:dyDescent="0.25">
      <c r="A4" s="1" t="s">
        <v>72</v>
      </c>
      <c r="B4" s="8">
        <v>2824.51</v>
      </c>
    </row>
    <row r="5" spans="1:2" x14ac:dyDescent="0.25">
      <c r="A5" s="1" t="s">
        <v>64</v>
      </c>
      <c r="B5" s="8">
        <v>8367.7099999999991</v>
      </c>
    </row>
    <row r="6" spans="1:2" x14ac:dyDescent="0.25">
      <c r="A6" s="1" t="s">
        <v>8</v>
      </c>
      <c r="B6" s="8">
        <v>19548.3</v>
      </c>
    </row>
    <row r="7" spans="1:2" x14ac:dyDescent="0.25">
      <c r="A7" s="1" t="s">
        <v>41</v>
      </c>
      <c r="B7" s="8">
        <v>10924.4</v>
      </c>
    </row>
    <row r="8" spans="1:2" x14ac:dyDescent="0.25">
      <c r="A8" s="1" t="s">
        <v>57</v>
      </c>
      <c r="B8" s="8">
        <v>3860.29</v>
      </c>
    </row>
    <row r="9" spans="1:2" x14ac:dyDescent="0.25">
      <c r="A9" s="1" t="s">
        <v>31</v>
      </c>
      <c r="B9" s="8">
        <v>246409.71999999997</v>
      </c>
    </row>
    <row r="10" spans="1:2" x14ac:dyDescent="0.25">
      <c r="A10" s="1" t="s">
        <v>288</v>
      </c>
      <c r="B10" s="8">
        <v>291934.93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43E47-2844-4E02-BD3F-D2952995234B}">
  <dimension ref="A1:L191"/>
  <sheetViews>
    <sheetView workbookViewId="0">
      <selection sqref="A1:L191"/>
    </sheetView>
  </sheetViews>
  <sheetFormatPr baseColWidth="10" defaultRowHeight="15" x14ac:dyDescent="0.25"/>
  <cols>
    <col min="1" max="1" width="14.42578125" bestFit="1" customWidth="1"/>
  </cols>
  <sheetData>
    <row r="1" spans="1:12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</row>
    <row r="2" spans="1:12" x14ac:dyDescent="0.25">
      <c r="A2">
        <v>1791321596001</v>
      </c>
      <c r="B2" t="s">
        <v>31</v>
      </c>
      <c r="C2" t="s">
        <v>32</v>
      </c>
      <c r="D2" t="s">
        <v>33</v>
      </c>
      <c r="E2">
        <v>1.0420260417913201E+47</v>
      </c>
      <c r="F2" s="5">
        <v>46113.513564814813</v>
      </c>
      <c r="G2" s="6">
        <v>46113</v>
      </c>
      <c r="H2">
        <v>190401685001</v>
      </c>
      <c r="I2">
        <v>21.48</v>
      </c>
      <c r="J2">
        <v>3.22</v>
      </c>
      <c r="L2" t="s">
        <v>34</v>
      </c>
    </row>
    <row r="3" spans="1:12" x14ac:dyDescent="0.25">
      <c r="A3">
        <v>1791321596001</v>
      </c>
      <c r="B3" t="s">
        <v>31</v>
      </c>
      <c r="C3" t="s">
        <v>32</v>
      </c>
      <c r="D3" t="s">
        <v>35</v>
      </c>
      <c r="E3">
        <v>1.0420260417913201E+47</v>
      </c>
      <c r="F3" s="5">
        <v>46113.513553240744</v>
      </c>
      <c r="G3" s="6">
        <v>46113</v>
      </c>
      <c r="H3">
        <v>190401685001</v>
      </c>
      <c r="I3">
        <v>63.61</v>
      </c>
      <c r="J3">
        <v>9.5399999999999991</v>
      </c>
      <c r="L3" t="s">
        <v>36</v>
      </c>
    </row>
    <row r="4" spans="1:12" x14ac:dyDescent="0.25">
      <c r="A4">
        <v>1791321596001</v>
      </c>
      <c r="B4" t="s">
        <v>31</v>
      </c>
      <c r="C4" t="s">
        <v>32</v>
      </c>
      <c r="D4" t="s">
        <v>37</v>
      </c>
      <c r="E4">
        <v>1.0420260417913201E+47</v>
      </c>
      <c r="F4" s="5">
        <v>46113.51357638889</v>
      </c>
      <c r="G4" s="6">
        <v>46113</v>
      </c>
      <c r="H4">
        <v>190401685001</v>
      </c>
      <c r="I4">
        <v>64.45</v>
      </c>
      <c r="J4">
        <v>9.67</v>
      </c>
      <c r="L4" t="s">
        <v>36</v>
      </c>
    </row>
    <row r="5" spans="1:12" x14ac:dyDescent="0.25">
      <c r="A5">
        <v>1791321596001</v>
      </c>
      <c r="B5" t="s">
        <v>31</v>
      </c>
      <c r="C5" t="s">
        <v>32</v>
      </c>
      <c r="D5" t="s">
        <v>38</v>
      </c>
      <c r="E5">
        <v>1.0420260417913201E+47</v>
      </c>
      <c r="F5" s="5">
        <v>46113.42864583333</v>
      </c>
      <c r="G5" s="6">
        <v>46113</v>
      </c>
      <c r="H5">
        <v>190401685001</v>
      </c>
      <c r="I5">
        <v>12.72</v>
      </c>
      <c r="J5">
        <v>1.91</v>
      </c>
      <c r="L5" t="s">
        <v>39</v>
      </c>
    </row>
    <row r="6" spans="1:12" x14ac:dyDescent="0.25">
      <c r="A6">
        <v>1791321596001</v>
      </c>
      <c r="B6" t="s">
        <v>31</v>
      </c>
      <c r="C6" t="s">
        <v>32</v>
      </c>
      <c r="D6" t="s">
        <v>40</v>
      </c>
      <c r="E6">
        <v>1.0420260417913201E+47</v>
      </c>
      <c r="F6" s="5">
        <v>46113.428715277776</v>
      </c>
      <c r="G6" s="6">
        <v>46113</v>
      </c>
      <c r="H6">
        <v>190401685001</v>
      </c>
      <c r="I6">
        <v>109.06</v>
      </c>
      <c r="J6">
        <v>16.36</v>
      </c>
      <c r="L6" t="s">
        <v>39</v>
      </c>
    </row>
    <row r="7" spans="1:12" x14ac:dyDescent="0.25">
      <c r="A7">
        <v>990335028001</v>
      </c>
      <c r="B7" t="s">
        <v>41</v>
      </c>
      <c r="C7" t="s">
        <v>32</v>
      </c>
      <c r="D7" t="s">
        <v>42</v>
      </c>
      <c r="E7">
        <v>1.04202604099033E+47</v>
      </c>
      <c r="F7" s="5">
        <v>46113.76053240741</v>
      </c>
      <c r="G7" s="6">
        <v>46113</v>
      </c>
      <c r="H7">
        <v>190401685001</v>
      </c>
      <c r="I7">
        <v>100.31</v>
      </c>
      <c r="J7">
        <v>15.05</v>
      </c>
      <c r="L7" t="s">
        <v>43</v>
      </c>
    </row>
    <row r="8" spans="1:12" x14ac:dyDescent="0.25">
      <c r="A8">
        <v>1791321596001</v>
      </c>
      <c r="B8" t="s">
        <v>31</v>
      </c>
      <c r="C8" t="s">
        <v>32</v>
      </c>
      <c r="D8" t="s">
        <v>44</v>
      </c>
      <c r="E8">
        <v>1.0420260417913201E+47</v>
      </c>
      <c r="F8" s="5">
        <v>46113.526273148149</v>
      </c>
      <c r="G8" s="6">
        <v>46113</v>
      </c>
      <c r="H8">
        <v>190401685001</v>
      </c>
      <c r="I8">
        <v>22.54</v>
      </c>
      <c r="J8">
        <v>3.38</v>
      </c>
      <c r="L8" t="s">
        <v>45</v>
      </c>
    </row>
    <row r="9" spans="1:12" x14ac:dyDescent="0.25">
      <c r="A9">
        <v>1791321596001</v>
      </c>
      <c r="B9" t="s">
        <v>31</v>
      </c>
      <c r="C9" t="s">
        <v>32</v>
      </c>
      <c r="D9" t="s">
        <v>46</v>
      </c>
      <c r="E9">
        <v>1.0420260417913201E+47</v>
      </c>
      <c r="F9" s="5">
        <v>46113.42864583333</v>
      </c>
      <c r="G9" s="6">
        <v>46113</v>
      </c>
      <c r="H9">
        <v>190401685001</v>
      </c>
      <c r="I9">
        <v>124.37</v>
      </c>
      <c r="J9">
        <v>18.649999999999999</v>
      </c>
      <c r="L9" t="s">
        <v>47</v>
      </c>
    </row>
    <row r="10" spans="1:12" x14ac:dyDescent="0.25">
      <c r="A10">
        <v>1791321596001</v>
      </c>
      <c r="B10" t="s">
        <v>31</v>
      </c>
      <c r="C10" t="s">
        <v>32</v>
      </c>
      <c r="D10" t="s">
        <v>48</v>
      </c>
      <c r="E10">
        <v>1.0420260417913201E+47</v>
      </c>
      <c r="F10" s="5">
        <v>46113.42869212963</v>
      </c>
      <c r="G10" s="6">
        <v>46113</v>
      </c>
      <c r="H10">
        <v>190401685001</v>
      </c>
      <c r="I10">
        <v>50.88</v>
      </c>
      <c r="J10">
        <v>7.62</v>
      </c>
      <c r="L10" t="s">
        <v>47</v>
      </c>
    </row>
    <row r="11" spans="1:12" x14ac:dyDescent="0.25">
      <c r="A11">
        <v>1791321596001</v>
      </c>
      <c r="B11" t="s">
        <v>31</v>
      </c>
      <c r="C11" t="s">
        <v>32</v>
      </c>
      <c r="D11" t="s">
        <v>49</v>
      </c>
      <c r="E11">
        <v>1.0420260417913201E+47</v>
      </c>
      <c r="F11" s="5">
        <v>46113.428761574076</v>
      </c>
      <c r="G11" s="6">
        <v>46113</v>
      </c>
      <c r="H11">
        <v>190401685001</v>
      </c>
      <c r="I11">
        <v>41.82</v>
      </c>
      <c r="J11">
        <v>6.27</v>
      </c>
      <c r="L11" t="s">
        <v>50</v>
      </c>
    </row>
    <row r="12" spans="1:12" x14ac:dyDescent="0.25">
      <c r="A12">
        <v>1791321596001</v>
      </c>
      <c r="B12" t="s">
        <v>31</v>
      </c>
      <c r="C12" t="s">
        <v>32</v>
      </c>
      <c r="D12" t="s">
        <v>51</v>
      </c>
      <c r="E12">
        <v>1.0420260417913201E+47</v>
      </c>
      <c r="F12" s="5">
        <v>46113.428738425922</v>
      </c>
      <c r="G12" s="6">
        <v>46113</v>
      </c>
      <c r="H12">
        <v>190401685001</v>
      </c>
      <c r="I12">
        <v>16.96</v>
      </c>
      <c r="J12">
        <v>2.54</v>
      </c>
      <c r="L12" t="s">
        <v>39</v>
      </c>
    </row>
    <row r="13" spans="1:12" x14ac:dyDescent="0.25">
      <c r="A13">
        <v>1791321596001</v>
      </c>
      <c r="B13" t="s">
        <v>31</v>
      </c>
      <c r="C13" t="s">
        <v>32</v>
      </c>
      <c r="D13" t="s">
        <v>52</v>
      </c>
      <c r="E13">
        <v>1.0420260417913201E+47</v>
      </c>
      <c r="F13" s="5">
        <v>46113.428703703707</v>
      </c>
      <c r="G13" s="6">
        <v>46113</v>
      </c>
      <c r="H13">
        <v>190401685001</v>
      </c>
      <c r="I13">
        <v>48.59</v>
      </c>
      <c r="J13">
        <v>7.29</v>
      </c>
      <c r="L13" t="s">
        <v>50</v>
      </c>
    </row>
    <row r="14" spans="1:12" x14ac:dyDescent="0.25">
      <c r="A14">
        <v>1791321596001</v>
      </c>
      <c r="B14" t="s">
        <v>31</v>
      </c>
      <c r="C14" t="s">
        <v>32</v>
      </c>
      <c r="D14" t="s">
        <v>53</v>
      </c>
      <c r="E14">
        <v>1.0420260417913201E+47</v>
      </c>
      <c r="F14" s="5">
        <v>46113.513553240744</v>
      </c>
      <c r="G14" s="6">
        <v>46113</v>
      </c>
      <c r="H14">
        <v>190401685001</v>
      </c>
      <c r="I14">
        <v>76.23</v>
      </c>
      <c r="J14">
        <v>11.44</v>
      </c>
      <c r="L14" t="s">
        <v>54</v>
      </c>
    </row>
    <row r="15" spans="1:12" x14ac:dyDescent="0.25">
      <c r="A15">
        <v>1791321596001</v>
      </c>
      <c r="B15" t="s">
        <v>31</v>
      </c>
      <c r="C15" t="s">
        <v>32</v>
      </c>
      <c r="D15" t="s">
        <v>55</v>
      </c>
      <c r="E15">
        <v>1.0420260417913201E+47</v>
      </c>
      <c r="F15" s="5">
        <v>46113.513564814813</v>
      </c>
      <c r="G15" s="6">
        <v>46113</v>
      </c>
      <c r="H15">
        <v>190401685001</v>
      </c>
      <c r="I15">
        <v>72.900000000000006</v>
      </c>
      <c r="J15">
        <v>10.94</v>
      </c>
      <c r="L15" t="s">
        <v>56</v>
      </c>
    </row>
    <row r="16" spans="1:12" x14ac:dyDescent="0.25">
      <c r="A16">
        <v>990007020001</v>
      </c>
      <c r="B16" t="s">
        <v>57</v>
      </c>
      <c r="C16" t="s">
        <v>32</v>
      </c>
      <c r="D16" t="s">
        <v>58</v>
      </c>
      <c r="E16">
        <v>2.0420260409899999E+47</v>
      </c>
      <c r="F16" s="5">
        <v>46114.559814814813</v>
      </c>
      <c r="G16" s="6">
        <v>46114</v>
      </c>
      <c r="H16">
        <v>190401685001</v>
      </c>
      <c r="I16">
        <v>52.09</v>
      </c>
      <c r="J16">
        <v>0</v>
      </c>
      <c r="L16" t="s">
        <v>59</v>
      </c>
    </row>
    <row r="17" spans="1:12" x14ac:dyDescent="0.25">
      <c r="A17">
        <v>1791321596001</v>
      </c>
      <c r="B17" t="s">
        <v>31</v>
      </c>
      <c r="C17" t="s">
        <v>32</v>
      </c>
      <c r="D17" t="s">
        <v>60</v>
      </c>
      <c r="E17">
        <v>2.0420260417913201E+47</v>
      </c>
      <c r="F17" s="5">
        <v>46114.52542824074</v>
      </c>
      <c r="G17" s="6">
        <v>46114</v>
      </c>
      <c r="H17">
        <v>190401685001</v>
      </c>
      <c r="I17">
        <v>468.03</v>
      </c>
      <c r="J17">
        <v>70.209999999999994</v>
      </c>
      <c r="L17" t="s">
        <v>61</v>
      </c>
    </row>
    <row r="18" spans="1:12" x14ac:dyDescent="0.25">
      <c r="A18">
        <v>1791321596001</v>
      </c>
      <c r="B18" t="s">
        <v>31</v>
      </c>
      <c r="C18" t="s">
        <v>32</v>
      </c>
      <c r="D18" t="s">
        <v>62</v>
      </c>
      <c r="E18">
        <v>2.0420260417913201E+47</v>
      </c>
      <c r="F18" s="5">
        <v>46114.458703703705</v>
      </c>
      <c r="G18" s="6">
        <v>46114</v>
      </c>
      <c r="H18">
        <v>190401685001</v>
      </c>
      <c r="I18">
        <v>127.11</v>
      </c>
      <c r="J18">
        <v>19.07</v>
      </c>
      <c r="L18" t="s">
        <v>63</v>
      </c>
    </row>
    <row r="19" spans="1:12" x14ac:dyDescent="0.25">
      <c r="A19">
        <v>990501750001</v>
      </c>
      <c r="B19" t="s">
        <v>64</v>
      </c>
      <c r="C19" t="s">
        <v>32</v>
      </c>
      <c r="D19" t="s">
        <v>65</v>
      </c>
      <c r="E19">
        <v>6.0420260409904998E+47</v>
      </c>
      <c r="F19" s="5">
        <v>46118.441990740743</v>
      </c>
      <c r="G19" s="6">
        <v>46118</v>
      </c>
      <c r="H19">
        <v>190401685001</v>
      </c>
      <c r="I19">
        <v>25.11</v>
      </c>
      <c r="J19">
        <v>3.77</v>
      </c>
      <c r="L19" t="s">
        <v>66</v>
      </c>
    </row>
    <row r="20" spans="1:12" x14ac:dyDescent="0.25">
      <c r="A20">
        <v>990501750001</v>
      </c>
      <c r="B20" t="s">
        <v>64</v>
      </c>
      <c r="C20" t="s">
        <v>32</v>
      </c>
      <c r="D20" t="s">
        <v>67</v>
      </c>
      <c r="E20">
        <v>6.0420260409904998E+47</v>
      </c>
      <c r="F20" s="5">
        <v>46118.442002314812</v>
      </c>
      <c r="G20" s="6">
        <v>46118</v>
      </c>
      <c r="H20">
        <v>190401685001</v>
      </c>
      <c r="I20">
        <v>25.11</v>
      </c>
      <c r="J20">
        <v>3.77</v>
      </c>
      <c r="L20" t="s">
        <v>68</v>
      </c>
    </row>
    <row r="21" spans="1:12" x14ac:dyDescent="0.25">
      <c r="A21">
        <v>990007020001</v>
      </c>
      <c r="B21" t="s">
        <v>57</v>
      </c>
      <c r="C21" t="s">
        <v>32</v>
      </c>
      <c r="D21" t="s">
        <v>69</v>
      </c>
      <c r="E21">
        <v>7.0420260409900001E+47</v>
      </c>
      <c r="F21" s="5">
        <v>46119.425219907411</v>
      </c>
      <c r="G21" s="6">
        <v>46119</v>
      </c>
      <c r="H21">
        <v>190401685001</v>
      </c>
      <c r="I21">
        <v>2536.54</v>
      </c>
      <c r="J21">
        <v>0</v>
      </c>
      <c r="L21" t="s">
        <v>59</v>
      </c>
    </row>
    <row r="22" spans="1:12" x14ac:dyDescent="0.25">
      <c r="A22">
        <v>1791321596001</v>
      </c>
      <c r="B22" t="s">
        <v>31</v>
      </c>
      <c r="C22" t="s">
        <v>32</v>
      </c>
      <c r="D22" t="s">
        <v>70</v>
      </c>
      <c r="E22">
        <v>8.04202604179132E+47</v>
      </c>
      <c r="F22" s="5">
        <v>46120.642245370371</v>
      </c>
      <c r="G22" s="6">
        <v>46120</v>
      </c>
      <c r="H22">
        <v>190401685001</v>
      </c>
      <c r="I22">
        <v>107.34</v>
      </c>
      <c r="J22">
        <v>16.100000000000001</v>
      </c>
      <c r="L22" t="s">
        <v>71</v>
      </c>
    </row>
    <row r="23" spans="1:12" x14ac:dyDescent="0.25">
      <c r="A23">
        <v>190096467001</v>
      </c>
      <c r="B23" t="s">
        <v>72</v>
      </c>
      <c r="C23" t="s">
        <v>32</v>
      </c>
      <c r="D23" t="s">
        <v>73</v>
      </c>
      <c r="E23">
        <v>9.0420260401900895E+47</v>
      </c>
      <c r="F23" s="5">
        <v>46121.360092592593</v>
      </c>
      <c r="G23" s="6">
        <v>46121</v>
      </c>
      <c r="H23">
        <v>190401685001</v>
      </c>
      <c r="I23">
        <v>785.29</v>
      </c>
      <c r="J23">
        <v>117.79</v>
      </c>
      <c r="L23" t="s">
        <v>74</v>
      </c>
    </row>
    <row r="24" spans="1:12" x14ac:dyDescent="0.25">
      <c r="A24">
        <v>990501750001</v>
      </c>
      <c r="B24" t="s">
        <v>64</v>
      </c>
      <c r="C24" t="s">
        <v>32</v>
      </c>
      <c r="D24" t="s">
        <v>75</v>
      </c>
      <c r="E24">
        <v>1.30420260409905E+48</v>
      </c>
      <c r="F24" s="5">
        <v>46125.341793981483</v>
      </c>
      <c r="G24" s="6">
        <v>46125</v>
      </c>
      <c r="H24">
        <v>190401685001</v>
      </c>
      <c r="I24">
        <v>4.03</v>
      </c>
      <c r="J24">
        <v>0</v>
      </c>
      <c r="L24" t="s">
        <v>76</v>
      </c>
    </row>
    <row r="25" spans="1:12" x14ac:dyDescent="0.25">
      <c r="A25">
        <v>990501750001</v>
      </c>
      <c r="B25" t="s">
        <v>64</v>
      </c>
      <c r="C25" t="s">
        <v>32</v>
      </c>
      <c r="D25" t="s">
        <v>77</v>
      </c>
      <c r="E25">
        <v>1.30420260409905E+48</v>
      </c>
      <c r="F25" s="5">
        <v>46125.341261574074</v>
      </c>
      <c r="G25" s="6">
        <v>46125</v>
      </c>
      <c r="H25">
        <v>190401685001</v>
      </c>
      <c r="I25">
        <v>15.83</v>
      </c>
      <c r="J25">
        <v>2.37</v>
      </c>
      <c r="L25" t="s">
        <v>76</v>
      </c>
    </row>
    <row r="26" spans="1:12" x14ac:dyDescent="0.25">
      <c r="A26">
        <v>990501750001</v>
      </c>
      <c r="B26" t="s">
        <v>64</v>
      </c>
      <c r="C26" t="s">
        <v>32</v>
      </c>
      <c r="D26" t="s">
        <v>78</v>
      </c>
      <c r="E26">
        <v>1.30420260409905E+48</v>
      </c>
      <c r="F26" s="5">
        <v>46125.342326388891</v>
      </c>
      <c r="G26" s="6">
        <v>46125</v>
      </c>
      <c r="H26">
        <v>190401685001</v>
      </c>
      <c r="I26">
        <v>7.89</v>
      </c>
      <c r="J26">
        <v>1.18</v>
      </c>
      <c r="L26" t="s">
        <v>76</v>
      </c>
    </row>
    <row r="27" spans="1:12" x14ac:dyDescent="0.25">
      <c r="A27">
        <v>1791321596001</v>
      </c>
      <c r="B27" t="s">
        <v>8</v>
      </c>
      <c r="C27" t="s">
        <v>32</v>
      </c>
      <c r="D27" t="s">
        <v>79</v>
      </c>
      <c r="E27">
        <v>1.4042026041791301E+48</v>
      </c>
      <c r="F27" s="5">
        <v>46126.599282407406</v>
      </c>
      <c r="G27" s="6">
        <v>46126</v>
      </c>
      <c r="H27">
        <v>190401685001</v>
      </c>
      <c r="I27">
        <v>36.14</v>
      </c>
      <c r="J27">
        <v>5.42</v>
      </c>
      <c r="L27" t="s">
        <v>80</v>
      </c>
    </row>
    <row r="28" spans="1:12" x14ac:dyDescent="0.25">
      <c r="A28">
        <v>1791321596001</v>
      </c>
      <c r="B28" t="s">
        <v>31</v>
      </c>
      <c r="C28" t="s">
        <v>32</v>
      </c>
      <c r="D28" t="s">
        <v>81</v>
      </c>
      <c r="E28">
        <v>1.5042026041791298E+48</v>
      </c>
      <c r="F28" s="5">
        <v>46127.494016203702</v>
      </c>
      <c r="G28" s="6">
        <v>46127</v>
      </c>
      <c r="H28">
        <v>190401685001</v>
      </c>
      <c r="I28">
        <v>0.4</v>
      </c>
      <c r="J28">
        <v>0.06</v>
      </c>
      <c r="L28" t="s">
        <v>61</v>
      </c>
    </row>
    <row r="29" spans="1:12" x14ac:dyDescent="0.25">
      <c r="A29">
        <v>190096467001</v>
      </c>
      <c r="B29" t="s">
        <v>72</v>
      </c>
      <c r="C29" t="s">
        <v>32</v>
      </c>
      <c r="D29" t="s">
        <v>82</v>
      </c>
      <c r="E29">
        <v>1.5042026040190001E+48</v>
      </c>
      <c r="F29" s="5">
        <v>46127.547939814816</v>
      </c>
      <c r="G29" s="6">
        <v>46127</v>
      </c>
      <c r="H29">
        <v>190401685001</v>
      </c>
      <c r="I29">
        <v>2039.22</v>
      </c>
      <c r="J29">
        <v>305.88</v>
      </c>
      <c r="L29" t="s">
        <v>74</v>
      </c>
    </row>
    <row r="30" spans="1:12" x14ac:dyDescent="0.25">
      <c r="A30">
        <v>1791321596001</v>
      </c>
      <c r="B30" t="s">
        <v>31</v>
      </c>
      <c r="C30" t="s">
        <v>32</v>
      </c>
      <c r="D30" t="s">
        <v>83</v>
      </c>
      <c r="E30">
        <v>1.5042026041791298E+48</v>
      </c>
      <c r="F30" s="5">
        <v>46127.504745370374</v>
      </c>
      <c r="G30" s="6">
        <v>46127</v>
      </c>
      <c r="H30">
        <v>190401685001</v>
      </c>
      <c r="I30">
        <v>576.51</v>
      </c>
      <c r="J30">
        <v>86.48</v>
      </c>
      <c r="L30" t="s">
        <v>61</v>
      </c>
    </row>
    <row r="31" spans="1:12" x14ac:dyDescent="0.25">
      <c r="A31">
        <v>1791321596001</v>
      </c>
      <c r="B31" t="s">
        <v>31</v>
      </c>
      <c r="C31" t="s">
        <v>32</v>
      </c>
      <c r="D31" t="s">
        <v>84</v>
      </c>
      <c r="E31">
        <v>1.5042026041791298E+48</v>
      </c>
      <c r="F31" s="5">
        <v>46127.494803240741</v>
      </c>
      <c r="G31" s="6">
        <v>46127</v>
      </c>
      <c r="H31">
        <v>190401685001</v>
      </c>
      <c r="I31">
        <v>0.8</v>
      </c>
      <c r="J31">
        <v>0.12</v>
      </c>
      <c r="L31" t="s">
        <v>71</v>
      </c>
    </row>
    <row r="32" spans="1:12" x14ac:dyDescent="0.25">
      <c r="A32">
        <v>1791321596001</v>
      </c>
      <c r="B32" t="s">
        <v>31</v>
      </c>
      <c r="C32" t="s">
        <v>32</v>
      </c>
      <c r="D32" t="s">
        <v>85</v>
      </c>
      <c r="E32">
        <v>1.5042026041791298E+48</v>
      </c>
      <c r="F32" s="5">
        <v>46127.486041666663</v>
      </c>
      <c r="G32" s="6">
        <v>46127</v>
      </c>
      <c r="H32">
        <v>190401685001</v>
      </c>
      <c r="I32">
        <v>3.76</v>
      </c>
      <c r="J32">
        <v>0.56000000000000005</v>
      </c>
      <c r="L32" t="s">
        <v>34</v>
      </c>
    </row>
    <row r="33" spans="1:12" x14ac:dyDescent="0.25">
      <c r="A33">
        <v>1791321596001</v>
      </c>
      <c r="B33" t="s">
        <v>31</v>
      </c>
      <c r="C33" t="s">
        <v>32</v>
      </c>
      <c r="D33" t="s">
        <v>86</v>
      </c>
      <c r="E33">
        <v>1.5042026041791298E+48</v>
      </c>
      <c r="F33" s="5">
        <v>46127.503958333335</v>
      </c>
      <c r="G33" s="6">
        <v>46127</v>
      </c>
      <c r="H33">
        <v>190401685001</v>
      </c>
      <c r="I33">
        <v>2293.48</v>
      </c>
      <c r="J33">
        <v>344.02</v>
      </c>
      <c r="L33" t="s">
        <v>34</v>
      </c>
    </row>
    <row r="34" spans="1:12" x14ac:dyDescent="0.25">
      <c r="A34">
        <v>1791321596001</v>
      </c>
      <c r="B34" t="s">
        <v>31</v>
      </c>
      <c r="C34" t="s">
        <v>32</v>
      </c>
      <c r="D34" t="s">
        <v>87</v>
      </c>
      <c r="E34">
        <v>1.5042026041791298E+48</v>
      </c>
      <c r="F34" s="5">
        <v>46127.514618055553</v>
      </c>
      <c r="G34" s="6">
        <v>46127</v>
      </c>
      <c r="H34">
        <v>190401685001</v>
      </c>
      <c r="I34">
        <v>328</v>
      </c>
      <c r="J34">
        <v>49.2</v>
      </c>
      <c r="L34" t="s">
        <v>71</v>
      </c>
    </row>
    <row r="35" spans="1:12" x14ac:dyDescent="0.25">
      <c r="A35">
        <v>1791321596001</v>
      </c>
      <c r="B35" t="s">
        <v>31</v>
      </c>
      <c r="C35" t="s">
        <v>32</v>
      </c>
      <c r="D35" t="s">
        <v>88</v>
      </c>
      <c r="E35">
        <v>1.5042026041791298E+48</v>
      </c>
      <c r="F35" s="5">
        <v>46127.514201388891</v>
      </c>
      <c r="G35" s="6">
        <v>46127</v>
      </c>
      <c r="H35">
        <v>190401685001</v>
      </c>
      <c r="I35">
        <v>642.5</v>
      </c>
      <c r="J35">
        <v>96.38</v>
      </c>
      <c r="L35" t="s">
        <v>61</v>
      </c>
    </row>
    <row r="36" spans="1:12" x14ac:dyDescent="0.25">
      <c r="A36">
        <v>1791321596001</v>
      </c>
      <c r="B36" t="s">
        <v>31</v>
      </c>
      <c r="C36" t="s">
        <v>32</v>
      </c>
      <c r="D36" t="s">
        <v>89</v>
      </c>
      <c r="E36">
        <v>1.5042026041791298E+48</v>
      </c>
      <c r="F36" s="5">
        <v>46127.501840277779</v>
      </c>
      <c r="G36" s="6">
        <v>46127</v>
      </c>
      <c r="H36">
        <v>190401685001</v>
      </c>
      <c r="I36">
        <v>2.79</v>
      </c>
      <c r="J36">
        <v>0.42</v>
      </c>
      <c r="L36" t="s">
        <v>71</v>
      </c>
    </row>
    <row r="37" spans="1:12" x14ac:dyDescent="0.25">
      <c r="A37">
        <v>990501750001</v>
      </c>
      <c r="B37" t="s">
        <v>64</v>
      </c>
      <c r="C37" t="s">
        <v>32</v>
      </c>
      <c r="D37" t="s">
        <v>90</v>
      </c>
      <c r="E37">
        <v>1.50420260409905E+48</v>
      </c>
      <c r="F37" s="5">
        <v>46127.502083333333</v>
      </c>
      <c r="G37" s="6">
        <v>46127</v>
      </c>
      <c r="H37">
        <v>190401685001</v>
      </c>
      <c r="I37">
        <v>33</v>
      </c>
      <c r="J37">
        <v>0</v>
      </c>
      <c r="L37" t="s">
        <v>91</v>
      </c>
    </row>
    <row r="38" spans="1:12" x14ac:dyDescent="0.25">
      <c r="A38">
        <v>1791321596001</v>
      </c>
      <c r="B38" t="s">
        <v>31</v>
      </c>
      <c r="C38" t="s">
        <v>32</v>
      </c>
      <c r="D38" t="s">
        <v>92</v>
      </c>
      <c r="E38">
        <v>1.5042026041791298E+48</v>
      </c>
      <c r="F38" s="5">
        <v>46127.505185185182</v>
      </c>
      <c r="G38" s="6">
        <v>46127</v>
      </c>
      <c r="H38">
        <v>190401685001</v>
      </c>
      <c r="I38">
        <v>1594.47</v>
      </c>
      <c r="J38">
        <v>239.17</v>
      </c>
      <c r="L38" t="s">
        <v>61</v>
      </c>
    </row>
    <row r="39" spans="1:12" x14ac:dyDescent="0.25">
      <c r="A39">
        <v>1791321596001</v>
      </c>
      <c r="B39" t="s">
        <v>31</v>
      </c>
      <c r="C39" t="s">
        <v>32</v>
      </c>
      <c r="D39" t="s">
        <v>93</v>
      </c>
      <c r="E39">
        <v>1.5042026041791298E+48</v>
      </c>
      <c r="F39" s="5">
        <v>46127.521064814813</v>
      </c>
      <c r="G39" s="6">
        <v>46127</v>
      </c>
      <c r="H39">
        <v>190401685001</v>
      </c>
      <c r="I39">
        <v>27</v>
      </c>
      <c r="J39">
        <v>4.05</v>
      </c>
      <c r="L39" t="s">
        <v>71</v>
      </c>
    </row>
    <row r="40" spans="1:12" x14ac:dyDescent="0.25">
      <c r="A40">
        <v>1791321596001</v>
      </c>
      <c r="B40" t="s">
        <v>31</v>
      </c>
      <c r="C40" t="s">
        <v>32</v>
      </c>
      <c r="D40" t="s">
        <v>94</v>
      </c>
      <c r="E40">
        <v>1.5042026041791298E+48</v>
      </c>
      <c r="F40" s="5">
        <v>46127.486840277779</v>
      </c>
      <c r="G40" s="6">
        <v>46127</v>
      </c>
      <c r="H40">
        <v>190401685001</v>
      </c>
      <c r="I40">
        <v>20.61</v>
      </c>
      <c r="J40">
        <v>3.09</v>
      </c>
      <c r="L40" t="s">
        <v>47</v>
      </c>
    </row>
    <row r="41" spans="1:12" x14ac:dyDescent="0.25">
      <c r="A41">
        <v>990501750001</v>
      </c>
      <c r="B41" t="s">
        <v>64</v>
      </c>
      <c r="C41" t="s">
        <v>32</v>
      </c>
      <c r="D41" t="s">
        <v>95</v>
      </c>
      <c r="E41">
        <v>1.50420260409905E+48</v>
      </c>
      <c r="F41" s="5">
        <v>46127.54010416667</v>
      </c>
      <c r="G41" s="6">
        <v>46127</v>
      </c>
      <c r="H41">
        <v>190401685001</v>
      </c>
      <c r="I41">
        <v>16.62</v>
      </c>
      <c r="J41">
        <v>2.4900000000000002</v>
      </c>
      <c r="L41" t="s">
        <v>96</v>
      </c>
    </row>
    <row r="42" spans="1:12" x14ac:dyDescent="0.25">
      <c r="A42">
        <v>1791321596001</v>
      </c>
      <c r="B42" t="s">
        <v>31</v>
      </c>
      <c r="C42" t="s">
        <v>32</v>
      </c>
      <c r="D42" t="s">
        <v>97</v>
      </c>
      <c r="E42">
        <v>1.5042026041791298E+48</v>
      </c>
      <c r="F42" s="5">
        <v>46127.501643518517</v>
      </c>
      <c r="G42" s="6">
        <v>46127</v>
      </c>
      <c r="H42">
        <v>190401685001</v>
      </c>
      <c r="I42">
        <v>2.33</v>
      </c>
      <c r="J42">
        <v>0.35</v>
      </c>
      <c r="L42" t="s">
        <v>61</v>
      </c>
    </row>
    <row r="43" spans="1:12" x14ac:dyDescent="0.25">
      <c r="A43">
        <v>1791321596001</v>
      </c>
      <c r="B43" t="s">
        <v>31</v>
      </c>
      <c r="C43" t="s">
        <v>32</v>
      </c>
      <c r="D43" t="s">
        <v>98</v>
      </c>
      <c r="E43">
        <v>1.5042026041791298E+48</v>
      </c>
      <c r="F43" s="5">
        <v>46127.521736111114</v>
      </c>
      <c r="G43" s="6">
        <v>46127</v>
      </c>
      <c r="H43">
        <v>190401685001</v>
      </c>
      <c r="I43">
        <v>39.200000000000003</v>
      </c>
      <c r="J43">
        <v>5.88</v>
      </c>
      <c r="L43" t="s">
        <v>61</v>
      </c>
    </row>
    <row r="44" spans="1:12" x14ac:dyDescent="0.25">
      <c r="A44">
        <v>990501750001</v>
      </c>
      <c r="B44" t="s">
        <v>64</v>
      </c>
      <c r="C44" t="s">
        <v>32</v>
      </c>
      <c r="D44" t="s">
        <v>99</v>
      </c>
      <c r="E44">
        <v>1.50420260409905E+48</v>
      </c>
      <c r="F44" s="5">
        <v>46127.546400462961</v>
      </c>
      <c r="G44" s="6">
        <v>46127</v>
      </c>
      <c r="H44">
        <v>190401685001</v>
      </c>
      <c r="I44">
        <v>277.39999999999998</v>
      </c>
      <c r="J44">
        <v>0</v>
      </c>
      <c r="L44" t="s">
        <v>100</v>
      </c>
    </row>
    <row r="45" spans="1:12" x14ac:dyDescent="0.25">
      <c r="A45">
        <v>1791321596001</v>
      </c>
      <c r="B45" t="s">
        <v>31</v>
      </c>
      <c r="C45" t="s">
        <v>32</v>
      </c>
      <c r="D45" t="s">
        <v>101</v>
      </c>
      <c r="E45">
        <v>1.6042026041791299E+48</v>
      </c>
      <c r="F45" s="5">
        <v>46128.586215277777</v>
      </c>
      <c r="G45" s="6">
        <v>46128</v>
      </c>
      <c r="H45">
        <v>190401685001</v>
      </c>
      <c r="I45">
        <v>37.4</v>
      </c>
      <c r="J45">
        <v>5.61</v>
      </c>
      <c r="L45" t="s">
        <v>102</v>
      </c>
    </row>
    <row r="46" spans="1:12" x14ac:dyDescent="0.25">
      <c r="A46">
        <v>1791321596001</v>
      </c>
      <c r="B46" t="s">
        <v>31</v>
      </c>
      <c r="C46" t="s">
        <v>32</v>
      </c>
      <c r="D46" t="s">
        <v>103</v>
      </c>
      <c r="E46">
        <v>1.6042026041791299E+48</v>
      </c>
      <c r="F46" s="5">
        <v>46128.58625</v>
      </c>
      <c r="G46" s="6">
        <v>46128</v>
      </c>
      <c r="H46">
        <v>190401685001</v>
      </c>
      <c r="I46">
        <v>67.599999999999994</v>
      </c>
      <c r="J46">
        <v>10.15</v>
      </c>
      <c r="L46" t="s">
        <v>104</v>
      </c>
    </row>
    <row r="47" spans="1:12" x14ac:dyDescent="0.25">
      <c r="A47">
        <v>1791321596001</v>
      </c>
      <c r="B47" t="s">
        <v>31</v>
      </c>
      <c r="C47" t="s">
        <v>32</v>
      </c>
      <c r="D47" t="s">
        <v>105</v>
      </c>
      <c r="E47">
        <v>1.6042026041791299E+48</v>
      </c>
      <c r="F47" s="5">
        <v>46128.586215277777</v>
      </c>
      <c r="G47" s="6">
        <v>46128</v>
      </c>
      <c r="H47">
        <v>190401685001</v>
      </c>
      <c r="I47">
        <v>3.93</v>
      </c>
      <c r="J47">
        <v>0.59</v>
      </c>
      <c r="L47" t="s">
        <v>102</v>
      </c>
    </row>
    <row r="48" spans="1:12" x14ac:dyDescent="0.25">
      <c r="A48">
        <v>1791321596001</v>
      </c>
      <c r="B48" t="s">
        <v>31</v>
      </c>
      <c r="C48" t="s">
        <v>32</v>
      </c>
      <c r="D48" t="s">
        <v>106</v>
      </c>
      <c r="E48">
        <v>1.6042026041791299E+48</v>
      </c>
      <c r="F48" s="5">
        <v>46128.5862037037</v>
      </c>
      <c r="G48" s="6">
        <v>46128</v>
      </c>
      <c r="H48">
        <v>190401685001</v>
      </c>
      <c r="I48">
        <v>21.2</v>
      </c>
      <c r="J48">
        <v>3.18</v>
      </c>
      <c r="L48" t="s">
        <v>104</v>
      </c>
    </row>
    <row r="49" spans="1:12" x14ac:dyDescent="0.25">
      <c r="A49">
        <v>1791321596001</v>
      </c>
      <c r="B49" t="s">
        <v>31</v>
      </c>
      <c r="C49" t="s">
        <v>32</v>
      </c>
      <c r="D49" t="s">
        <v>107</v>
      </c>
      <c r="E49">
        <v>1.70420260417913E+48</v>
      </c>
      <c r="F49" s="5">
        <v>46132.423506944448</v>
      </c>
      <c r="G49" s="6">
        <v>46129</v>
      </c>
      <c r="H49">
        <v>190401685001</v>
      </c>
      <c r="I49">
        <v>4631.32</v>
      </c>
      <c r="J49">
        <v>694.7</v>
      </c>
      <c r="L49" t="s">
        <v>61</v>
      </c>
    </row>
    <row r="50" spans="1:12" x14ac:dyDescent="0.25">
      <c r="A50">
        <v>1791321596001</v>
      </c>
      <c r="B50" t="s">
        <v>31</v>
      </c>
      <c r="C50" t="s">
        <v>32</v>
      </c>
      <c r="D50" t="s">
        <v>108</v>
      </c>
      <c r="E50">
        <v>1.70420260417913E+48</v>
      </c>
      <c r="F50" s="5">
        <v>46132.421168981484</v>
      </c>
      <c r="G50" s="6">
        <v>46129</v>
      </c>
      <c r="H50">
        <v>190401685001</v>
      </c>
      <c r="I50">
        <v>397.62</v>
      </c>
      <c r="J50">
        <v>59.64</v>
      </c>
      <c r="L50" t="s">
        <v>61</v>
      </c>
    </row>
    <row r="51" spans="1:12" x14ac:dyDescent="0.25">
      <c r="A51">
        <v>1791321596001</v>
      </c>
      <c r="B51" t="s">
        <v>31</v>
      </c>
      <c r="C51" t="s">
        <v>32</v>
      </c>
      <c r="D51" t="s">
        <v>109</v>
      </c>
      <c r="E51">
        <v>1.70420260417913E+48</v>
      </c>
      <c r="F51" s="5">
        <v>46132.423506944448</v>
      </c>
      <c r="G51" s="6">
        <v>46129</v>
      </c>
      <c r="H51">
        <v>190401685001</v>
      </c>
      <c r="I51">
        <v>4628.9799999999996</v>
      </c>
      <c r="J51">
        <v>694.35</v>
      </c>
      <c r="L51" t="s">
        <v>71</v>
      </c>
    </row>
    <row r="52" spans="1:12" x14ac:dyDescent="0.25">
      <c r="A52">
        <v>1791321596001</v>
      </c>
      <c r="B52" t="s">
        <v>31</v>
      </c>
      <c r="C52" t="s">
        <v>32</v>
      </c>
      <c r="D52" t="s">
        <v>110</v>
      </c>
      <c r="E52">
        <v>1.70420260417913E+48</v>
      </c>
      <c r="F52" s="5">
        <v>46132.421180555553</v>
      </c>
      <c r="G52" s="6">
        <v>46129</v>
      </c>
      <c r="H52">
        <v>190401685001</v>
      </c>
      <c r="I52">
        <v>433.25</v>
      </c>
      <c r="J52">
        <v>64.989999999999995</v>
      </c>
      <c r="L52" t="s">
        <v>71</v>
      </c>
    </row>
    <row r="53" spans="1:12" x14ac:dyDescent="0.25">
      <c r="A53">
        <v>1791321596001</v>
      </c>
      <c r="B53" t="s">
        <v>31</v>
      </c>
      <c r="C53" t="s">
        <v>32</v>
      </c>
      <c r="D53" t="s">
        <v>111</v>
      </c>
      <c r="E53">
        <v>1.70420260417913E+48</v>
      </c>
      <c r="F53" s="5">
        <v>46129.18917824074</v>
      </c>
      <c r="G53" s="6">
        <v>46129</v>
      </c>
      <c r="H53">
        <v>190401685001</v>
      </c>
      <c r="I53">
        <v>5440.69</v>
      </c>
      <c r="J53">
        <v>816.1</v>
      </c>
      <c r="L53" t="s">
        <v>61</v>
      </c>
    </row>
    <row r="54" spans="1:12" x14ac:dyDescent="0.25">
      <c r="A54">
        <v>1791321596001</v>
      </c>
      <c r="B54" t="s">
        <v>31</v>
      </c>
      <c r="C54" t="s">
        <v>32</v>
      </c>
      <c r="D54" t="s">
        <v>112</v>
      </c>
      <c r="E54">
        <v>1.70420260417913E+48</v>
      </c>
      <c r="F54" s="5">
        <v>46129.148101851853</v>
      </c>
      <c r="G54" s="6">
        <v>46129</v>
      </c>
      <c r="H54">
        <v>190401685001</v>
      </c>
      <c r="I54">
        <v>1142.56</v>
      </c>
      <c r="J54">
        <v>171.38</v>
      </c>
      <c r="L54" t="s">
        <v>61</v>
      </c>
    </row>
    <row r="55" spans="1:12" x14ac:dyDescent="0.25">
      <c r="A55">
        <v>1791321596001</v>
      </c>
      <c r="B55" t="s">
        <v>31</v>
      </c>
      <c r="C55" t="s">
        <v>32</v>
      </c>
      <c r="D55" t="s">
        <v>113</v>
      </c>
      <c r="E55">
        <v>1.70420260417913E+48</v>
      </c>
      <c r="F55" s="5">
        <v>46129.215752314813</v>
      </c>
      <c r="G55" s="6">
        <v>46129</v>
      </c>
      <c r="H55">
        <v>190401685001</v>
      </c>
      <c r="I55">
        <v>3214.79</v>
      </c>
      <c r="J55">
        <v>482.22</v>
      </c>
      <c r="L55" t="s">
        <v>61</v>
      </c>
    </row>
    <row r="56" spans="1:12" x14ac:dyDescent="0.25">
      <c r="A56">
        <v>990007020001</v>
      </c>
      <c r="B56" t="s">
        <v>57</v>
      </c>
      <c r="C56" t="s">
        <v>32</v>
      </c>
      <c r="D56" t="s">
        <v>114</v>
      </c>
      <c r="E56">
        <v>1.7042026040989999E+48</v>
      </c>
      <c r="F56" s="5">
        <v>46129.434953703705</v>
      </c>
      <c r="G56" s="6">
        <v>46129</v>
      </c>
      <c r="H56">
        <v>190401685001</v>
      </c>
      <c r="I56">
        <v>52.09</v>
      </c>
      <c r="J56">
        <v>0</v>
      </c>
      <c r="L56" t="s">
        <v>115</v>
      </c>
    </row>
    <row r="57" spans="1:12" x14ac:dyDescent="0.25">
      <c r="A57">
        <v>1791321596001</v>
      </c>
      <c r="B57" t="s">
        <v>31</v>
      </c>
      <c r="C57" t="s">
        <v>32</v>
      </c>
      <c r="D57" t="s">
        <v>116</v>
      </c>
      <c r="E57">
        <v>1.70420260417913E+48</v>
      </c>
      <c r="F57" s="5">
        <v>46129.187175925923</v>
      </c>
      <c r="G57" s="6">
        <v>46129</v>
      </c>
      <c r="H57">
        <v>190401685001</v>
      </c>
      <c r="I57">
        <v>11393.66</v>
      </c>
      <c r="J57">
        <v>1709.05</v>
      </c>
      <c r="L57" t="s">
        <v>71</v>
      </c>
    </row>
    <row r="58" spans="1:12" x14ac:dyDescent="0.25">
      <c r="A58">
        <v>1791321596001</v>
      </c>
      <c r="B58" t="s">
        <v>31</v>
      </c>
      <c r="C58" t="s">
        <v>32</v>
      </c>
      <c r="D58" t="s">
        <v>117</v>
      </c>
      <c r="E58">
        <v>1.70420260417913E+48</v>
      </c>
      <c r="F58" s="5">
        <v>46129.125115740739</v>
      </c>
      <c r="G58" s="6">
        <v>46129</v>
      </c>
      <c r="H58">
        <v>190401685001</v>
      </c>
      <c r="I58">
        <v>1210.2</v>
      </c>
      <c r="J58">
        <v>181.53</v>
      </c>
      <c r="L58" t="s">
        <v>61</v>
      </c>
    </row>
    <row r="59" spans="1:12" x14ac:dyDescent="0.25">
      <c r="A59">
        <v>1791321596001</v>
      </c>
      <c r="B59" t="s">
        <v>31</v>
      </c>
      <c r="C59" t="s">
        <v>32</v>
      </c>
      <c r="D59" t="s">
        <v>118</v>
      </c>
      <c r="E59">
        <v>1.70420260417913E+48</v>
      </c>
      <c r="F59" s="5">
        <v>46129.11891203704</v>
      </c>
      <c r="G59" s="6">
        <v>46129</v>
      </c>
      <c r="H59">
        <v>190401685001</v>
      </c>
      <c r="I59">
        <v>312</v>
      </c>
      <c r="J59">
        <v>46.8</v>
      </c>
      <c r="L59" t="s">
        <v>47</v>
      </c>
    </row>
    <row r="60" spans="1:12" x14ac:dyDescent="0.25">
      <c r="A60">
        <v>990501750001</v>
      </c>
      <c r="B60" t="s">
        <v>64</v>
      </c>
      <c r="C60" t="s">
        <v>32</v>
      </c>
      <c r="D60" t="s">
        <v>119</v>
      </c>
      <c r="E60">
        <v>1.7042026040990499E+48</v>
      </c>
      <c r="F60" s="5">
        <v>46129.711284722223</v>
      </c>
      <c r="G60" s="6">
        <v>46129</v>
      </c>
      <c r="H60">
        <v>190401685001</v>
      </c>
      <c r="I60">
        <v>713.32</v>
      </c>
      <c r="J60">
        <v>0</v>
      </c>
      <c r="L60" t="s">
        <v>120</v>
      </c>
    </row>
    <row r="61" spans="1:12" x14ac:dyDescent="0.25">
      <c r="A61">
        <v>1791321596001</v>
      </c>
      <c r="B61" t="s">
        <v>31</v>
      </c>
      <c r="C61" t="s">
        <v>32</v>
      </c>
      <c r="D61" t="s">
        <v>121</v>
      </c>
      <c r="E61">
        <v>1.70420260417913E+48</v>
      </c>
      <c r="F61" s="5">
        <v>46129.530127314814</v>
      </c>
      <c r="G61" s="6">
        <v>46129</v>
      </c>
      <c r="H61">
        <v>190401685001</v>
      </c>
      <c r="I61">
        <v>51.05</v>
      </c>
      <c r="J61">
        <v>7.66</v>
      </c>
      <c r="L61" t="s">
        <v>122</v>
      </c>
    </row>
    <row r="62" spans="1:12" x14ac:dyDescent="0.25">
      <c r="A62">
        <v>1791321596001</v>
      </c>
      <c r="B62" t="s">
        <v>31</v>
      </c>
      <c r="C62" t="s">
        <v>32</v>
      </c>
      <c r="D62" t="s">
        <v>123</v>
      </c>
      <c r="E62">
        <v>1.70420260417913E+48</v>
      </c>
      <c r="F62" s="5">
        <v>46129.515925925924</v>
      </c>
      <c r="G62" s="6">
        <v>46129</v>
      </c>
      <c r="H62">
        <v>190401685001</v>
      </c>
      <c r="I62">
        <v>75.34</v>
      </c>
      <c r="J62">
        <v>11.31</v>
      </c>
      <c r="L62" t="s">
        <v>124</v>
      </c>
    </row>
    <row r="63" spans="1:12" x14ac:dyDescent="0.25">
      <c r="A63">
        <v>1791321596001</v>
      </c>
      <c r="B63" t="s">
        <v>31</v>
      </c>
      <c r="C63" t="s">
        <v>32</v>
      </c>
      <c r="D63" t="s">
        <v>125</v>
      </c>
      <c r="E63">
        <v>1.70420260417913E+48</v>
      </c>
      <c r="F63" s="5">
        <v>46129.146608796298</v>
      </c>
      <c r="G63" s="6">
        <v>46129</v>
      </c>
      <c r="H63">
        <v>190401685001</v>
      </c>
      <c r="I63">
        <v>1161.92</v>
      </c>
      <c r="J63">
        <v>174.29</v>
      </c>
      <c r="L63" t="s">
        <v>71</v>
      </c>
    </row>
    <row r="64" spans="1:12" x14ac:dyDescent="0.25">
      <c r="A64">
        <v>1791321596001</v>
      </c>
      <c r="B64" t="s">
        <v>31</v>
      </c>
      <c r="C64" t="s">
        <v>32</v>
      </c>
      <c r="D64" t="s">
        <v>126</v>
      </c>
      <c r="E64">
        <v>1.70420260417913E+48</v>
      </c>
      <c r="F64" s="5">
        <v>46129.214629629627</v>
      </c>
      <c r="G64" s="6">
        <v>46129</v>
      </c>
      <c r="H64">
        <v>190401685001</v>
      </c>
      <c r="I64">
        <v>6355.71</v>
      </c>
      <c r="J64">
        <v>953.36</v>
      </c>
      <c r="L64" t="s">
        <v>71</v>
      </c>
    </row>
    <row r="65" spans="1:12" x14ac:dyDescent="0.25">
      <c r="A65">
        <v>1791321596001</v>
      </c>
      <c r="B65" t="s">
        <v>31</v>
      </c>
      <c r="C65" t="s">
        <v>32</v>
      </c>
      <c r="D65" t="s">
        <v>127</v>
      </c>
      <c r="E65">
        <v>1.70420260417913E+48</v>
      </c>
      <c r="F65" s="5">
        <v>46129.217013888891</v>
      </c>
      <c r="G65" s="6">
        <v>46129</v>
      </c>
      <c r="H65">
        <v>190401685001</v>
      </c>
      <c r="I65">
        <v>4102.97</v>
      </c>
      <c r="J65">
        <v>615.45000000000005</v>
      </c>
      <c r="L65" t="s">
        <v>61</v>
      </c>
    </row>
    <row r="66" spans="1:12" x14ac:dyDescent="0.25">
      <c r="A66">
        <v>1791321596001</v>
      </c>
      <c r="B66" t="s">
        <v>31</v>
      </c>
      <c r="C66" t="s">
        <v>32</v>
      </c>
      <c r="D66" t="s">
        <v>128</v>
      </c>
      <c r="E66">
        <v>1.70420260417913E+48</v>
      </c>
      <c r="F66" s="5">
        <v>46129.080636574072</v>
      </c>
      <c r="G66" s="6">
        <v>46129</v>
      </c>
      <c r="H66">
        <v>190401685001</v>
      </c>
      <c r="I66">
        <v>315.73</v>
      </c>
      <c r="J66">
        <v>47.36</v>
      </c>
      <c r="L66" t="s">
        <v>34</v>
      </c>
    </row>
    <row r="67" spans="1:12" x14ac:dyDescent="0.25">
      <c r="A67">
        <v>1791321596001</v>
      </c>
      <c r="B67" t="s">
        <v>31</v>
      </c>
      <c r="C67" t="s">
        <v>32</v>
      </c>
      <c r="D67" t="s">
        <v>129</v>
      </c>
      <c r="E67">
        <v>1.70420260417913E+48</v>
      </c>
      <c r="F67" s="5">
        <v>46129.080983796295</v>
      </c>
      <c r="G67" s="6">
        <v>46129</v>
      </c>
      <c r="H67">
        <v>190401685001</v>
      </c>
      <c r="I67">
        <v>196.75</v>
      </c>
      <c r="J67">
        <v>29.51</v>
      </c>
      <c r="L67" t="s">
        <v>47</v>
      </c>
    </row>
    <row r="68" spans="1:12" x14ac:dyDescent="0.25">
      <c r="A68">
        <v>1791321596001</v>
      </c>
      <c r="B68" t="s">
        <v>31</v>
      </c>
      <c r="C68" t="s">
        <v>32</v>
      </c>
      <c r="D68" t="s">
        <v>130</v>
      </c>
      <c r="E68">
        <v>1.70420260417913E+48</v>
      </c>
      <c r="F68" s="5">
        <v>46129.188078703701</v>
      </c>
      <c r="G68" s="6">
        <v>46129</v>
      </c>
      <c r="H68">
        <v>190401685001</v>
      </c>
      <c r="I68">
        <v>5411.57</v>
      </c>
      <c r="J68">
        <v>811.74</v>
      </c>
      <c r="L68" t="s">
        <v>61</v>
      </c>
    </row>
    <row r="69" spans="1:12" x14ac:dyDescent="0.25">
      <c r="A69">
        <v>1791321596001</v>
      </c>
      <c r="B69" t="s">
        <v>31</v>
      </c>
      <c r="C69" t="s">
        <v>32</v>
      </c>
      <c r="D69" t="s">
        <v>131</v>
      </c>
      <c r="E69">
        <v>1.70420260417913E+48</v>
      </c>
      <c r="F69" s="5">
        <v>46129.11891203704</v>
      </c>
      <c r="G69" s="6">
        <v>46129</v>
      </c>
      <c r="H69">
        <v>190401685001</v>
      </c>
      <c r="I69">
        <v>598</v>
      </c>
      <c r="J69">
        <v>89.7</v>
      </c>
      <c r="L69" t="s">
        <v>34</v>
      </c>
    </row>
    <row r="70" spans="1:12" x14ac:dyDescent="0.25">
      <c r="A70">
        <v>1791321596001</v>
      </c>
      <c r="B70" t="s">
        <v>31</v>
      </c>
      <c r="C70" t="s">
        <v>32</v>
      </c>
      <c r="D70" t="s">
        <v>132</v>
      </c>
      <c r="E70">
        <v>1.70420260417913E+48</v>
      </c>
      <c r="F70" s="5">
        <v>46129.147546296299</v>
      </c>
      <c r="G70" s="6">
        <v>46129</v>
      </c>
      <c r="H70">
        <v>190401685001</v>
      </c>
      <c r="I70">
        <v>890.4</v>
      </c>
      <c r="J70">
        <v>133.56</v>
      </c>
      <c r="L70" t="s">
        <v>61</v>
      </c>
    </row>
    <row r="71" spans="1:12" x14ac:dyDescent="0.25">
      <c r="A71">
        <v>1791321596001</v>
      </c>
      <c r="B71" t="s">
        <v>31</v>
      </c>
      <c r="C71" t="s">
        <v>32</v>
      </c>
      <c r="D71" t="s">
        <v>133</v>
      </c>
      <c r="E71">
        <v>1.70420260417913E+48</v>
      </c>
      <c r="F71" s="5">
        <v>46129.125034722223</v>
      </c>
      <c r="G71" s="6">
        <v>46129</v>
      </c>
      <c r="H71">
        <v>190401685001</v>
      </c>
      <c r="I71">
        <v>902.32</v>
      </c>
      <c r="J71">
        <v>135.35</v>
      </c>
      <c r="L71" t="s">
        <v>61</v>
      </c>
    </row>
    <row r="72" spans="1:12" x14ac:dyDescent="0.25">
      <c r="A72">
        <v>1791321596001</v>
      </c>
      <c r="B72" t="s">
        <v>31</v>
      </c>
      <c r="C72" t="s">
        <v>32</v>
      </c>
      <c r="D72" t="s">
        <v>134</v>
      </c>
      <c r="E72">
        <v>1.70420260417913E+48</v>
      </c>
      <c r="F72" s="5">
        <v>46129.130914351852</v>
      </c>
      <c r="G72" s="6">
        <v>46129</v>
      </c>
      <c r="H72">
        <v>190401685001</v>
      </c>
      <c r="I72">
        <v>817.34</v>
      </c>
      <c r="J72">
        <v>122.6</v>
      </c>
      <c r="L72" t="s">
        <v>71</v>
      </c>
    </row>
    <row r="73" spans="1:12" x14ac:dyDescent="0.25">
      <c r="A73">
        <v>1791321596001</v>
      </c>
      <c r="B73" t="s">
        <v>31</v>
      </c>
      <c r="C73" t="s">
        <v>32</v>
      </c>
      <c r="D73" t="s">
        <v>135</v>
      </c>
      <c r="E73">
        <v>1.70420260417913E+48</v>
      </c>
      <c r="F73" s="5">
        <v>46132.423506944448</v>
      </c>
      <c r="G73" s="6">
        <v>46129</v>
      </c>
      <c r="H73">
        <v>190401685001</v>
      </c>
      <c r="I73">
        <v>5836.94</v>
      </c>
      <c r="J73">
        <v>875.54</v>
      </c>
      <c r="L73" t="s">
        <v>61</v>
      </c>
    </row>
    <row r="74" spans="1:12" x14ac:dyDescent="0.25">
      <c r="A74">
        <v>1791321596001</v>
      </c>
      <c r="B74" t="s">
        <v>31</v>
      </c>
      <c r="C74" t="s">
        <v>32</v>
      </c>
      <c r="D74" t="s">
        <v>136</v>
      </c>
      <c r="E74">
        <v>1.70420260417913E+48</v>
      </c>
      <c r="F74" s="5">
        <v>46132.421168981484</v>
      </c>
      <c r="G74" s="6">
        <v>46129</v>
      </c>
      <c r="H74">
        <v>190401685001</v>
      </c>
      <c r="I74">
        <v>431.37</v>
      </c>
      <c r="J74">
        <v>64.709999999999994</v>
      </c>
      <c r="L74" t="s">
        <v>61</v>
      </c>
    </row>
    <row r="75" spans="1:12" x14ac:dyDescent="0.25">
      <c r="A75">
        <v>1791321596001</v>
      </c>
      <c r="B75" t="s">
        <v>31</v>
      </c>
      <c r="C75" t="s">
        <v>32</v>
      </c>
      <c r="D75" t="s">
        <v>137</v>
      </c>
      <c r="E75">
        <v>1.70420260417913E+48</v>
      </c>
      <c r="F75" s="5">
        <v>46129.514675925922</v>
      </c>
      <c r="G75" s="6">
        <v>46129</v>
      </c>
      <c r="H75">
        <v>190401685001</v>
      </c>
      <c r="I75">
        <v>99.59</v>
      </c>
      <c r="J75">
        <v>14.94</v>
      </c>
      <c r="L75" t="s">
        <v>122</v>
      </c>
    </row>
    <row r="76" spans="1:12" x14ac:dyDescent="0.25">
      <c r="A76">
        <v>1791321596001</v>
      </c>
      <c r="B76" t="s">
        <v>31</v>
      </c>
      <c r="C76" t="s">
        <v>32</v>
      </c>
      <c r="D76" t="s">
        <v>138</v>
      </c>
      <c r="E76">
        <v>1.70420260417913E+48</v>
      </c>
      <c r="F76" s="5">
        <v>46129.527824074074</v>
      </c>
      <c r="G76" s="6">
        <v>46129</v>
      </c>
      <c r="H76">
        <v>190401685001</v>
      </c>
      <c r="I76">
        <v>36.58</v>
      </c>
      <c r="J76">
        <v>5.49</v>
      </c>
      <c r="L76" t="s">
        <v>139</v>
      </c>
    </row>
    <row r="77" spans="1:12" x14ac:dyDescent="0.25">
      <c r="A77">
        <v>1791321596001</v>
      </c>
      <c r="B77" t="s">
        <v>31</v>
      </c>
      <c r="C77" t="s">
        <v>32</v>
      </c>
      <c r="D77" t="s">
        <v>140</v>
      </c>
      <c r="E77">
        <v>2.0042026041791299E+48</v>
      </c>
      <c r="F77" s="5">
        <v>46132.502800925926</v>
      </c>
      <c r="G77" s="6">
        <v>46132</v>
      </c>
      <c r="H77">
        <v>190401685001</v>
      </c>
      <c r="I77">
        <v>4585.99</v>
      </c>
      <c r="J77">
        <v>687.9</v>
      </c>
      <c r="L77" t="s">
        <v>34</v>
      </c>
    </row>
    <row r="78" spans="1:12" x14ac:dyDescent="0.25">
      <c r="A78">
        <v>1791321596001</v>
      </c>
      <c r="B78" t="s">
        <v>31</v>
      </c>
      <c r="C78" t="s">
        <v>32</v>
      </c>
      <c r="D78" t="s">
        <v>141</v>
      </c>
      <c r="E78">
        <v>2.0042026041791299E+48</v>
      </c>
      <c r="F78" s="5">
        <v>46132.529328703706</v>
      </c>
      <c r="G78" s="6">
        <v>46132</v>
      </c>
      <c r="H78">
        <v>190401685001</v>
      </c>
      <c r="I78">
        <v>903.99</v>
      </c>
      <c r="J78">
        <v>135.6</v>
      </c>
      <c r="L78" t="s">
        <v>142</v>
      </c>
    </row>
    <row r="79" spans="1:12" x14ac:dyDescent="0.25">
      <c r="A79">
        <v>1791321596001</v>
      </c>
      <c r="B79" t="s">
        <v>31</v>
      </c>
      <c r="C79" t="s">
        <v>32</v>
      </c>
      <c r="D79" t="s">
        <v>143</v>
      </c>
      <c r="E79">
        <v>2.0042026041791299E+48</v>
      </c>
      <c r="F79" s="5">
        <v>46132.528923611113</v>
      </c>
      <c r="G79" s="6">
        <v>46132</v>
      </c>
      <c r="H79">
        <v>190401685001</v>
      </c>
      <c r="I79">
        <v>2675.97</v>
      </c>
      <c r="J79">
        <v>401.4</v>
      </c>
      <c r="L79" t="s">
        <v>144</v>
      </c>
    </row>
    <row r="80" spans="1:12" x14ac:dyDescent="0.25">
      <c r="A80">
        <v>1791321596001</v>
      </c>
      <c r="B80" t="s">
        <v>31</v>
      </c>
      <c r="C80" t="s">
        <v>32</v>
      </c>
      <c r="D80" t="s">
        <v>145</v>
      </c>
      <c r="E80">
        <v>2.0042026041791299E+48</v>
      </c>
      <c r="F80" s="5">
        <v>46132.528078703705</v>
      </c>
      <c r="G80" s="6">
        <v>46132</v>
      </c>
      <c r="H80">
        <v>190401685001</v>
      </c>
      <c r="I80">
        <v>1406.19</v>
      </c>
      <c r="J80">
        <v>210.93</v>
      </c>
      <c r="L80" t="s">
        <v>144</v>
      </c>
    </row>
    <row r="81" spans="1:12" x14ac:dyDescent="0.25">
      <c r="A81">
        <v>1791321596001</v>
      </c>
      <c r="B81" t="s">
        <v>31</v>
      </c>
      <c r="C81" t="s">
        <v>32</v>
      </c>
      <c r="D81" t="s">
        <v>146</v>
      </c>
      <c r="E81">
        <v>2.0042026041791299E+48</v>
      </c>
      <c r="F81" s="5">
        <v>46132.529942129629</v>
      </c>
      <c r="G81" s="6">
        <v>46132</v>
      </c>
      <c r="H81">
        <v>190401685001</v>
      </c>
      <c r="I81">
        <v>1062.78</v>
      </c>
      <c r="J81">
        <v>159.41999999999999</v>
      </c>
      <c r="L81" t="s">
        <v>142</v>
      </c>
    </row>
    <row r="82" spans="1:12" x14ac:dyDescent="0.25">
      <c r="A82">
        <v>990007020001</v>
      </c>
      <c r="B82" t="s">
        <v>57</v>
      </c>
      <c r="C82" t="s">
        <v>32</v>
      </c>
      <c r="D82" t="s">
        <v>147</v>
      </c>
      <c r="E82">
        <v>2.0042026040990001E+48</v>
      </c>
      <c r="F82" s="5">
        <v>46132.695949074077</v>
      </c>
      <c r="G82" s="6">
        <v>46132</v>
      </c>
      <c r="H82">
        <v>190401685001</v>
      </c>
      <c r="I82">
        <v>1022.08</v>
      </c>
      <c r="J82">
        <v>0</v>
      </c>
      <c r="L82" t="s">
        <v>115</v>
      </c>
    </row>
    <row r="83" spans="1:12" x14ac:dyDescent="0.25">
      <c r="A83">
        <v>990501750001</v>
      </c>
      <c r="B83" t="s">
        <v>64</v>
      </c>
      <c r="C83" t="s">
        <v>32</v>
      </c>
      <c r="D83" t="s">
        <v>148</v>
      </c>
      <c r="E83">
        <v>2.0042026040990501E+48</v>
      </c>
      <c r="F83" s="5">
        <v>46132.363912037035</v>
      </c>
      <c r="G83" s="6">
        <v>46132</v>
      </c>
      <c r="H83">
        <v>190401685001</v>
      </c>
      <c r="I83">
        <v>465.35</v>
      </c>
      <c r="J83">
        <v>0</v>
      </c>
      <c r="L83" t="s">
        <v>91</v>
      </c>
    </row>
    <row r="84" spans="1:12" x14ac:dyDescent="0.25">
      <c r="A84">
        <v>990501750001</v>
      </c>
      <c r="B84" t="s">
        <v>64</v>
      </c>
      <c r="C84" t="s">
        <v>32</v>
      </c>
      <c r="D84" t="s">
        <v>149</v>
      </c>
      <c r="E84">
        <v>2.0042026040990501E+48</v>
      </c>
      <c r="F84" s="5">
        <v>46132.364432870374</v>
      </c>
      <c r="G84" s="6">
        <v>46132</v>
      </c>
      <c r="H84">
        <v>190401685001</v>
      </c>
      <c r="I84">
        <v>339.3</v>
      </c>
      <c r="J84">
        <v>0</v>
      </c>
      <c r="L84" t="s">
        <v>91</v>
      </c>
    </row>
    <row r="85" spans="1:12" x14ac:dyDescent="0.25">
      <c r="A85">
        <v>990501750001</v>
      </c>
      <c r="B85" t="s">
        <v>64</v>
      </c>
      <c r="C85" t="s">
        <v>32</v>
      </c>
      <c r="D85" t="s">
        <v>150</v>
      </c>
      <c r="E85">
        <v>2.0042026040990501E+48</v>
      </c>
      <c r="F85" s="5">
        <v>46132.364444444444</v>
      </c>
      <c r="G85" s="6">
        <v>46132</v>
      </c>
      <c r="H85">
        <v>190401685001</v>
      </c>
      <c r="I85">
        <v>2709.87</v>
      </c>
      <c r="J85">
        <v>406.48</v>
      </c>
      <c r="L85" t="s">
        <v>91</v>
      </c>
    </row>
    <row r="86" spans="1:12" x14ac:dyDescent="0.25">
      <c r="A86">
        <v>1791321596001</v>
      </c>
      <c r="B86" t="s">
        <v>31</v>
      </c>
      <c r="C86" t="s">
        <v>32</v>
      </c>
      <c r="D86" t="s">
        <v>151</v>
      </c>
      <c r="E86">
        <v>2.10420260417913E+48</v>
      </c>
      <c r="F86" s="5">
        <v>46133.686006944445</v>
      </c>
      <c r="G86" s="6">
        <v>46133</v>
      </c>
      <c r="H86">
        <v>190401685001</v>
      </c>
      <c r="I86">
        <v>4438</v>
      </c>
      <c r="J86">
        <v>665.7</v>
      </c>
      <c r="L86" t="s">
        <v>34</v>
      </c>
    </row>
    <row r="87" spans="1:12" x14ac:dyDescent="0.25">
      <c r="A87">
        <v>1791321596001</v>
      </c>
      <c r="B87" t="s">
        <v>8</v>
      </c>
      <c r="C87" t="s">
        <v>32</v>
      </c>
      <c r="D87" t="s">
        <v>152</v>
      </c>
      <c r="E87">
        <v>2.10420260417913E+48</v>
      </c>
      <c r="F87" s="5">
        <v>46133.623472222222</v>
      </c>
      <c r="G87" s="6">
        <v>46133</v>
      </c>
      <c r="H87">
        <v>190401685001</v>
      </c>
      <c r="I87">
        <v>525.78</v>
      </c>
      <c r="J87">
        <v>78.87</v>
      </c>
      <c r="L87" t="s">
        <v>153</v>
      </c>
    </row>
    <row r="88" spans="1:12" x14ac:dyDescent="0.25">
      <c r="A88">
        <v>1791321596001</v>
      </c>
      <c r="B88" t="s">
        <v>8</v>
      </c>
      <c r="C88" t="s">
        <v>32</v>
      </c>
      <c r="D88" t="s">
        <v>154</v>
      </c>
      <c r="E88">
        <v>2.10420260417913E+48</v>
      </c>
      <c r="F88" s="5">
        <v>46133.578101851854</v>
      </c>
      <c r="G88" s="6">
        <v>46133</v>
      </c>
      <c r="H88">
        <v>190401685001</v>
      </c>
      <c r="I88">
        <v>1827.21</v>
      </c>
      <c r="J88">
        <v>274.08</v>
      </c>
      <c r="L88" t="s">
        <v>153</v>
      </c>
    </row>
    <row r="89" spans="1:12" x14ac:dyDescent="0.25">
      <c r="A89">
        <v>1791321596001</v>
      </c>
      <c r="B89" t="s">
        <v>31</v>
      </c>
      <c r="C89" t="s">
        <v>32</v>
      </c>
      <c r="D89" t="s">
        <v>155</v>
      </c>
      <c r="E89">
        <v>2.10420260417913E+48</v>
      </c>
      <c r="F89" s="5">
        <v>46133.673101851855</v>
      </c>
      <c r="G89" s="6">
        <v>46133</v>
      </c>
      <c r="H89">
        <v>190401685001</v>
      </c>
      <c r="I89">
        <v>78.739999999999995</v>
      </c>
      <c r="J89">
        <v>11.81</v>
      </c>
      <c r="L89" t="s">
        <v>102</v>
      </c>
    </row>
    <row r="90" spans="1:12" x14ac:dyDescent="0.25">
      <c r="A90">
        <v>1791321596001</v>
      </c>
      <c r="B90" t="s">
        <v>31</v>
      </c>
      <c r="C90" t="s">
        <v>32</v>
      </c>
      <c r="D90" t="s">
        <v>156</v>
      </c>
      <c r="E90">
        <v>2.10420260417913E+48</v>
      </c>
      <c r="F90" s="5">
        <v>46133.685231481482</v>
      </c>
      <c r="G90" s="6">
        <v>46133</v>
      </c>
      <c r="H90">
        <v>190401685001</v>
      </c>
      <c r="I90">
        <v>3324.65</v>
      </c>
      <c r="J90">
        <v>498.7</v>
      </c>
      <c r="L90" t="s">
        <v>47</v>
      </c>
    </row>
    <row r="91" spans="1:12" x14ac:dyDescent="0.25">
      <c r="A91">
        <v>1791321596001</v>
      </c>
      <c r="B91" t="s">
        <v>31</v>
      </c>
      <c r="C91" t="s">
        <v>32</v>
      </c>
      <c r="D91" t="s">
        <v>157</v>
      </c>
      <c r="E91">
        <v>2.10420260417913E+48</v>
      </c>
      <c r="F91" s="5">
        <v>46133.667048611111</v>
      </c>
      <c r="G91" s="6">
        <v>46133</v>
      </c>
      <c r="H91">
        <v>190401685001</v>
      </c>
      <c r="I91">
        <v>1389.61</v>
      </c>
      <c r="J91">
        <v>208.44</v>
      </c>
      <c r="L91" t="s">
        <v>47</v>
      </c>
    </row>
    <row r="92" spans="1:12" x14ac:dyDescent="0.25">
      <c r="A92">
        <v>1791321596001</v>
      </c>
      <c r="B92" t="s">
        <v>8</v>
      </c>
      <c r="C92" t="s">
        <v>32</v>
      </c>
      <c r="D92" t="s">
        <v>158</v>
      </c>
      <c r="E92">
        <v>2.10420260417913E+48</v>
      </c>
      <c r="F92" s="5">
        <v>46133.625092592592</v>
      </c>
      <c r="G92" s="6">
        <v>46133</v>
      </c>
      <c r="H92">
        <v>190401685001</v>
      </c>
      <c r="I92">
        <v>460.26</v>
      </c>
      <c r="J92">
        <v>69.040000000000006</v>
      </c>
      <c r="L92" t="s">
        <v>159</v>
      </c>
    </row>
    <row r="93" spans="1:12" x14ac:dyDescent="0.25">
      <c r="A93">
        <v>1791321596001</v>
      </c>
      <c r="B93" t="s">
        <v>31</v>
      </c>
      <c r="C93" t="s">
        <v>32</v>
      </c>
      <c r="D93" t="s">
        <v>160</v>
      </c>
      <c r="E93">
        <v>2.10420260417913E+48</v>
      </c>
      <c r="F93" s="5">
        <v>46133.704745370371</v>
      </c>
      <c r="G93" s="6">
        <v>46133</v>
      </c>
      <c r="H93">
        <v>190401685001</v>
      </c>
      <c r="I93">
        <v>7257.84</v>
      </c>
      <c r="J93">
        <v>1088.68</v>
      </c>
      <c r="L93" t="s">
        <v>34</v>
      </c>
    </row>
    <row r="94" spans="1:12" x14ac:dyDescent="0.25">
      <c r="A94">
        <v>1791321596001</v>
      </c>
      <c r="B94" t="s">
        <v>8</v>
      </c>
      <c r="C94" t="s">
        <v>32</v>
      </c>
      <c r="D94" t="s">
        <v>161</v>
      </c>
      <c r="E94">
        <v>2.10420260417913E+48</v>
      </c>
      <c r="F94" s="5">
        <v>46133.55568287037</v>
      </c>
      <c r="G94" s="6">
        <v>46133</v>
      </c>
      <c r="H94">
        <v>190401685001</v>
      </c>
      <c r="I94">
        <v>400</v>
      </c>
      <c r="J94">
        <v>60</v>
      </c>
      <c r="L94" t="s">
        <v>153</v>
      </c>
    </row>
    <row r="95" spans="1:12" x14ac:dyDescent="0.25">
      <c r="A95">
        <v>1791321596001</v>
      </c>
      <c r="B95" t="s">
        <v>8</v>
      </c>
      <c r="C95" t="s">
        <v>32</v>
      </c>
      <c r="D95" t="s">
        <v>162</v>
      </c>
      <c r="E95">
        <v>2.10420260417913E+48</v>
      </c>
      <c r="F95" s="5">
        <v>46133.554479166669</v>
      </c>
      <c r="G95" s="6">
        <v>46133</v>
      </c>
      <c r="H95">
        <v>190401685001</v>
      </c>
      <c r="I95">
        <v>400</v>
      </c>
      <c r="J95">
        <v>60</v>
      </c>
      <c r="L95" t="s">
        <v>153</v>
      </c>
    </row>
    <row r="96" spans="1:12" x14ac:dyDescent="0.25">
      <c r="A96">
        <v>1791321596001</v>
      </c>
      <c r="B96" t="s">
        <v>8</v>
      </c>
      <c r="C96" t="s">
        <v>32</v>
      </c>
      <c r="D96" t="s">
        <v>163</v>
      </c>
      <c r="E96">
        <v>2.10420260417913E+48</v>
      </c>
      <c r="F96" s="5">
        <v>46133.508437500001</v>
      </c>
      <c r="G96" s="6">
        <v>46133</v>
      </c>
      <c r="H96">
        <v>190401685001</v>
      </c>
      <c r="I96">
        <v>215.34</v>
      </c>
      <c r="J96">
        <v>32.299999999999997</v>
      </c>
      <c r="L96" t="s">
        <v>153</v>
      </c>
    </row>
    <row r="97" spans="1:12" x14ac:dyDescent="0.25">
      <c r="A97">
        <v>1791321596001</v>
      </c>
      <c r="B97" t="s">
        <v>31</v>
      </c>
      <c r="C97" t="s">
        <v>32</v>
      </c>
      <c r="D97" t="s">
        <v>164</v>
      </c>
      <c r="E97">
        <v>2.10420260417913E+48</v>
      </c>
      <c r="F97" s="5">
        <v>46133.665567129632</v>
      </c>
      <c r="G97" s="6">
        <v>46133</v>
      </c>
      <c r="H97">
        <v>190401685001</v>
      </c>
      <c r="I97">
        <v>2239.83</v>
      </c>
      <c r="J97">
        <v>335.97</v>
      </c>
      <c r="L97" t="s">
        <v>34</v>
      </c>
    </row>
    <row r="98" spans="1:12" x14ac:dyDescent="0.25">
      <c r="A98">
        <v>1791321596001</v>
      </c>
      <c r="B98" t="s">
        <v>31</v>
      </c>
      <c r="C98" t="s">
        <v>32</v>
      </c>
      <c r="D98" t="s">
        <v>165</v>
      </c>
      <c r="E98">
        <v>2.10420260417913E+48</v>
      </c>
      <c r="F98" s="5">
        <v>46133.686643518522</v>
      </c>
      <c r="G98" s="6">
        <v>46133</v>
      </c>
      <c r="H98">
        <v>190401685001</v>
      </c>
      <c r="I98">
        <v>4734.03</v>
      </c>
      <c r="J98">
        <v>710.1</v>
      </c>
      <c r="L98" t="s">
        <v>34</v>
      </c>
    </row>
    <row r="99" spans="1:12" x14ac:dyDescent="0.25">
      <c r="A99">
        <v>1791321596001</v>
      </c>
      <c r="B99" t="s">
        <v>8</v>
      </c>
      <c r="C99" t="s">
        <v>32</v>
      </c>
      <c r="D99" t="s">
        <v>166</v>
      </c>
      <c r="E99">
        <v>2.10420260417913E+48</v>
      </c>
      <c r="F99" s="5">
        <v>46133.683854166666</v>
      </c>
      <c r="G99" s="6">
        <v>46133</v>
      </c>
      <c r="H99">
        <v>190401685001</v>
      </c>
      <c r="I99">
        <v>11.6</v>
      </c>
      <c r="J99">
        <v>1.74</v>
      </c>
      <c r="L99" t="s">
        <v>167</v>
      </c>
    </row>
    <row r="100" spans="1:12" x14ac:dyDescent="0.25">
      <c r="A100">
        <v>1791321596001</v>
      </c>
      <c r="B100" t="s">
        <v>8</v>
      </c>
      <c r="C100" t="s">
        <v>32</v>
      </c>
      <c r="D100" t="s">
        <v>168</v>
      </c>
      <c r="E100">
        <v>2.10420260417913E+48</v>
      </c>
      <c r="F100" s="5">
        <v>46133.527939814812</v>
      </c>
      <c r="G100" s="6">
        <v>46133</v>
      </c>
      <c r="H100">
        <v>190401685001</v>
      </c>
      <c r="I100">
        <v>35.67</v>
      </c>
      <c r="J100">
        <v>5.35</v>
      </c>
      <c r="L100" t="s">
        <v>153</v>
      </c>
    </row>
    <row r="101" spans="1:12" x14ac:dyDescent="0.25">
      <c r="A101">
        <v>1791321596001</v>
      </c>
      <c r="B101" t="s">
        <v>8</v>
      </c>
      <c r="C101" t="s">
        <v>32</v>
      </c>
      <c r="D101" t="s">
        <v>169</v>
      </c>
      <c r="E101">
        <v>2.10420260417913E+48</v>
      </c>
      <c r="F101" s="5">
        <v>46133.588819444441</v>
      </c>
      <c r="G101" s="6">
        <v>46133</v>
      </c>
      <c r="H101">
        <v>190401685001</v>
      </c>
      <c r="I101">
        <v>630.05999999999995</v>
      </c>
      <c r="J101">
        <v>94.51</v>
      </c>
      <c r="L101" t="s">
        <v>153</v>
      </c>
    </row>
    <row r="102" spans="1:12" x14ac:dyDescent="0.25">
      <c r="A102">
        <v>1791321596001</v>
      </c>
      <c r="B102" t="s">
        <v>8</v>
      </c>
      <c r="C102" t="s">
        <v>32</v>
      </c>
      <c r="D102" t="s">
        <v>170</v>
      </c>
      <c r="E102">
        <v>2.10420260417913E+48</v>
      </c>
      <c r="F102" s="5">
        <v>46133.624224537038</v>
      </c>
      <c r="G102" s="6">
        <v>46133</v>
      </c>
      <c r="H102">
        <v>190401685001</v>
      </c>
      <c r="I102">
        <v>461.48</v>
      </c>
      <c r="J102">
        <v>69.22</v>
      </c>
      <c r="L102" t="s">
        <v>171</v>
      </c>
    </row>
    <row r="103" spans="1:12" x14ac:dyDescent="0.25">
      <c r="A103">
        <v>1791321596001</v>
      </c>
      <c r="B103" t="s">
        <v>31</v>
      </c>
      <c r="C103" t="s">
        <v>32</v>
      </c>
      <c r="D103" t="s">
        <v>172</v>
      </c>
      <c r="E103">
        <v>2.10420260417913E+48</v>
      </c>
      <c r="F103" s="5">
        <v>46133.666018518517</v>
      </c>
      <c r="G103" s="6">
        <v>46133</v>
      </c>
      <c r="H103">
        <v>190401685001</v>
      </c>
      <c r="I103">
        <v>2768</v>
      </c>
      <c r="J103">
        <v>415.2</v>
      </c>
      <c r="L103" t="s">
        <v>34</v>
      </c>
    </row>
    <row r="104" spans="1:12" x14ac:dyDescent="0.25">
      <c r="A104">
        <v>1791321596001</v>
      </c>
      <c r="B104" t="s">
        <v>31</v>
      </c>
      <c r="C104" t="s">
        <v>32</v>
      </c>
      <c r="D104" t="s">
        <v>173</v>
      </c>
      <c r="E104">
        <v>2.10420260417913E+48</v>
      </c>
      <c r="F104" s="5">
        <v>46133.684050925927</v>
      </c>
      <c r="G104" s="6">
        <v>46133</v>
      </c>
      <c r="H104">
        <v>190401685001</v>
      </c>
      <c r="I104">
        <v>67.92</v>
      </c>
      <c r="J104">
        <v>10.19</v>
      </c>
      <c r="L104" t="s">
        <v>102</v>
      </c>
    </row>
    <row r="105" spans="1:12" x14ac:dyDescent="0.25">
      <c r="A105">
        <v>1791321596001</v>
      </c>
      <c r="B105" t="s">
        <v>31</v>
      </c>
      <c r="C105" t="s">
        <v>32</v>
      </c>
      <c r="D105" t="s">
        <v>174</v>
      </c>
      <c r="E105">
        <v>2.10420260417913E+48</v>
      </c>
      <c r="F105" s="5">
        <v>46133.705567129633</v>
      </c>
      <c r="G105" s="6">
        <v>46133</v>
      </c>
      <c r="H105">
        <v>190401685001</v>
      </c>
      <c r="I105">
        <v>8886.89</v>
      </c>
      <c r="J105">
        <v>1333.03</v>
      </c>
      <c r="L105" t="s">
        <v>34</v>
      </c>
    </row>
    <row r="106" spans="1:12" x14ac:dyDescent="0.25">
      <c r="A106">
        <v>1791321596001</v>
      </c>
      <c r="B106" t="s">
        <v>31</v>
      </c>
      <c r="C106" t="s">
        <v>32</v>
      </c>
      <c r="D106" t="s">
        <v>175</v>
      </c>
      <c r="E106">
        <v>2.10420260417913E+48</v>
      </c>
      <c r="F106" s="5">
        <v>46133.703587962962</v>
      </c>
      <c r="G106" s="6">
        <v>46133</v>
      </c>
      <c r="H106">
        <v>190401685001</v>
      </c>
      <c r="I106">
        <v>14423.06</v>
      </c>
      <c r="J106">
        <v>2163.46</v>
      </c>
      <c r="L106" t="s">
        <v>47</v>
      </c>
    </row>
    <row r="107" spans="1:12" x14ac:dyDescent="0.25">
      <c r="A107">
        <v>1791321596001</v>
      </c>
      <c r="B107" t="s">
        <v>8</v>
      </c>
      <c r="C107" t="s">
        <v>32</v>
      </c>
      <c r="D107" t="s">
        <v>176</v>
      </c>
      <c r="E107">
        <v>2.10420260417913E+48</v>
      </c>
      <c r="F107" s="5">
        <v>46133.562696759262</v>
      </c>
      <c r="G107" s="6">
        <v>46133</v>
      </c>
      <c r="H107">
        <v>190401685001</v>
      </c>
      <c r="I107">
        <v>65.22</v>
      </c>
      <c r="J107">
        <v>9.7799999999999994</v>
      </c>
      <c r="L107" t="s">
        <v>153</v>
      </c>
    </row>
    <row r="108" spans="1:12" x14ac:dyDescent="0.25">
      <c r="A108">
        <v>1791321596001</v>
      </c>
      <c r="B108" t="s">
        <v>8</v>
      </c>
      <c r="C108" t="s">
        <v>32</v>
      </c>
      <c r="D108" t="s">
        <v>177</v>
      </c>
      <c r="E108">
        <v>2.10420260417913E+48</v>
      </c>
      <c r="F108" s="5">
        <v>46133.515208333331</v>
      </c>
      <c r="G108" s="6">
        <v>46133</v>
      </c>
      <c r="H108">
        <v>190401685001</v>
      </c>
      <c r="I108">
        <v>40.15</v>
      </c>
      <c r="J108">
        <v>6.02</v>
      </c>
      <c r="L108" t="s">
        <v>153</v>
      </c>
    </row>
    <row r="109" spans="1:12" x14ac:dyDescent="0.25">
      <c r="A109">
        <v>1791321596001</v>
      </c>
      <c r="B109" t="s">
        <v>31</v>
      </c>
      <c r="C109" t="s">
        <v>32</v>
      </c>
      <c r="D109" t="s">
        <v>178</v>
      </c>
      <c r="E109">
        <v>2.10420260417913E+48</v>
      </c>
      <c r="F109" s="5">
        <v>46133.486215277779</v>
      </c>
      <c r="G109" s="6">
        <v>46133</v>
      </c>
      <c r="H109">
        <v>190401685001</v>
      </c>
      <c r="I109">
        <v>11655.51</v>
      </c>
      <c r="J109">
        <v>1748.33</v>
      </c>
      <c r="L109" t="s">
        <v>34</v>
      </c>
    </row>
    <row r="110" spans="1:12" x14ac:dyDescent="0.25">
      <c r="A110">
        <v>1791321596001</v>
      </c>
      <c r="B110" t="s">
        <v>8</v>
      </c>
      <c r="C110" t="s">
        <v>32</v>
      </c>
      <c r="D110" t="s">
        <v>179</v>
      </c>
      <c r="E110">
        <v>2.10420260417913E+48</v>
      </c>
      <c r="F110" s="5">
        <v>46133.522777777776</v>
      </c>
      <c r="G110" s="6">
        <v>46133</v>
      </c>
      <c r="H110">
        <v>190401685001</v>
      </c>
      <c r="I110">
        <v>223.28</v>
      </c>
      <c r="J110">
        <v>33.49</v>
      </c>
      <c r="L110" t="s">
        <v>153</v>
      </c>
    </row>
    <row r="111" spans="1:12" x14ac:dyDescent="0.25">
      <c r="A111">
        <v>1791321596001</v>
      </c>
      <c r="B111" t="s">
        <v>31</v>
      </c>
      <c r="C111" t="s">
        <v>32</v>
      </c>
      <c r="D111" t="s">
        <v>180</v>
      </c>
      <c r="E111">
        <v>2.10420260417913E+48</v>
      </c>
      <c r="F111" s="5">
        <v>46133.495254629626</v>
      </c>
      <c r="G111" s="6">
        <v>46133</v>
      </c>
      <c r="H111">
        <v>190401685001</v>
      </c>
      <c r="I111">
        <v>7167.98</v>
      </c>
      <c r="J111">
        <v>1075.2</v>
      </c>
      <c r="L111" t="s">
        <v>47</v>
      </c>
    </row>
    <row r="112" spans="1:12" x14ac:dyDescent="0.25">
      <c r="A112">
        <v>990501750001</v>
      </c>
      <c r="B112" t="s">
        <v>64</v>
      </c>
      <c r="C112" t="s">
        <v>32</v>
      </c>
      <c r="D112" t="s">
        <v>181</v>
      </c>
      <c r="E112">
        <v>2.1042026040990499E+48</v>
      </c>
      <c r="F112" s="5">
        <v>46133.345011574071</v>
      </c>
      <c r="G112" s="6">
        <v>46133</v>
      </c>
      <c r="H112">
        <v>190401685001</v>
      </c>
      <c r="I112">
        <v>70.94</v>
      </c>
      <c r="J112">
        <v>0</v>
      </c>
      <c r="L112" t="s">
        <v>182</v>
      </c>
    </row>
    <row r="113" spans="1:12" x14ac:dyDescent="0.25">
      <c r="A113">
        <v>990501750001</v>
      </c>
      <c r="B113" t="s">
        <v>64</v>
      </c>
      <c r="C113" t="s">
        <v>32</v>
      </c>
      <c r="D113" t="s">
        <v>183</v>
      </c>
      <c r="E113">
        <v>2.1042026040990499E+48</v>
      </c>
      <c r="F113" s="5">
        <v>46133.346597222226</v>
      </c>
      <c r="G113" s="6">
        <v>46133</v>
      </c>
      <c r="H113">
        <v>190401685001</v>
      </c>
      <c r="I113">
        <v>34.67</v>
      </c>
      <c r="J113">
        <v>5.2</v>
      </c>
      <c r="L113" t="s">
        <v>184</v>
      </c>
    </row>
    <row r="114" spans="1:12" x14ac:dyDescent="0.25">
      <c r="A114">
        <v>990501750001</v>
      </c>
      <c r="B114" t="s">
        <v>64</v>
      </c>
      <c r="C114" t="s">
        <v>32</v>
      </c>
      <c r="D114" t="s">
        <v>185</v>
      </c>
      <c r="E114">
        <v>2.1042026040990499E+48</v>
      </c>
      <c r="F114" s="5">
        <v>46133.3434375</v>
      </c>
      <c r="G114" s="6">
        <v>46133</v>
      </c>
      <c r="H114">
        <v>190401685001</v>
      </c>
      <c r="I114">
        <v>16.739999999999998</v>
      </c>
      <c r="J114">
        <v>2.5099999999999998</v>
      </c>
      <c r="L114" t="s">
        <v>186</v>
      </c>
    </row>
    <row r="115" spans="1:12" x14ac:dyDescent="0.25">
      <c r="A115">
        <v>990501750001</v>
      </c>
      <c r="B115" t="s">
        <v>64</v>
      </c>
      <c r="C115" t="s">
        <v>32</v>
      </c>
      <c r="D115" t="s">
        <v>187</v>
      </c>
      <c r="E115">
        <v>2.1042026040990499E+48</v>
      </c>
      <c r="F115" s="5">
        <v>46133.345543981479</v>
      </c>
      <c r="G115" s="6">
        <v>46133</v>
      </c>
      <c r="H115">
        <v>190401685001</v>
      </c>
      <c r="I115">
        <v>5.49</v>
      </c>
      <c r="J115">
        <v>0.82</v>
      </c>
      <c r="L115" t="s">
        <v>184</v>
      </c>
    </row>
    <row r="116" spans="1:12" x14ac:dyDescent="0.25">
      <c r="A116">
        <v>990501750001</v>
      </c>
      <c r="B116" t="s">
        <v>64</v>
      </c>
      <c r="C116" t="s">
        <v>32</v>
      </c>
      <c r="D116" t="s">
        <v>188</v>
      </c>
      <c r="E116">
        <v>2.1042026040990499E+48</v>
      </c>
      <c r="F116" s="5">
        <v>46133.345011574071</v>
      </c>
      <c r="G116" s="6">
        <v>46133</v>
      </c>
      <c r="H116">
        <v>190401685001</v>
      </c>
      <c r="I116">
        <v>4.79</v>
      </c>
      <c r="J116">
        <v>0.72</v>
      </c>
      <c r="L116" t="s">
        <v>182</v>
      </c>
    </row>
    <row r="117" spans="1:12" x14ac:dyDescent="0.25">
      <c r="A117">
        <v>990501750001</v>
      </c>
      <c r="B117" t="s">
        <v>64</v>
      </c>
      <c r="C117" t="s">
        <v>32</v>
      </c>
      <c r="D117" t="s">
        <v>189</v>
      </c>
      <c r="E117">
        <v>2.1042026040990499E+48</v>
      </c>
      <c r="F117" s="5">
        <v>46133.3434375</v>
      </c>
      <c r="G117" s="6">
        <v>46133</v>
      </c>
      <c r="H117">
        <v>190401685001</v>
      </c>
      <c r="I117">
        <v>16.739999999999998</v>
      </c>
      <c r="J117">
        <v>2.5099999999999998</v>
      </c>
      <c r="L117" t="s">
        <v>190</v>
      </c>
    </row>
    <row r="118" spans="1:12" x14ac:dyDescent="0.25">
      <c r="A118">
        <v>990501750001</v>
      </c>
      <c r="B118" t="s">
        <v>64</v>
      </c>
      <c r="C118" t="s">
        <v>32</v>
      </c>
      <c r="D118" t="s">
        <v>191</v>
      </c>
      <c r="E118">
        <v>2.1042026040990499E+48</v>
      </c>
      <c r="F118" s="5">
        <v>46133.345543981479</v>
      </c>
      <c r="G118" s="6">
        <v>46133</v>
      </c>
      <c r="H118">
        <v>190401685001</v>
      </c>
      <c r="I118">
        <v>9.23</v>
      </c>
      <c r="J118">
        <v>1.38</v>
      </c>
      <c r="L118" t="s">
        <v>182</v>
      </c>
    </row>
    <row r="119" spans="1:12" x14ac:dyDescent="0.25">
      <c r="A119">
        <v>1791321596001</v>
      </c>
      <c r="B119" t="s">
        <v>31</v>
      </c>
      <c r="C119" t="s">
        <v>32</v>
      </c>
      <c r="D119" t="s">
        <v>192</v>
      </c>
      <c r="E119">
        <v>2.2042026041791301E+48</v>
      </c>
      <c r="F119" s="5">
        <v>46134.668900462966</v>
      </c>
      <c r="G119" s="6">
        <v>46134</v>
      </c>
      <c r="H119">
        <v>190401685001</v>
      </c>
      <c r="I119">
        <v>28.69</v>
      </c>
      <c r="J119">
        <v>4.3099999999999996</v>
      </c>
      <c r="L119" t="s">
        <v>193</v>
      </c>
    </row>
    <row r="120" spans="1:12" x14ac:dyDescent="0.25">
      <c r="A120">
        <v>1791321596001</v>
      </c>
      <c r="B120" t="s">
        <v>31</v>
      </c>
      <c r="C120" t="s">
        <v>32</v>
      </c>
      <c r="D120" t="s">
        <v>194</v>
      </c>
      <c r="E120">
        <v>2.2042026041791301E+48</v>
      </c>
      <c r="F120" s="5">
        <v>46134.668900462966</v>
      </c>
      <c r="G120" s="6">
        <v>46134</v>
      </c>
      <c r="H120">
        <v>190401685001</v>
      </c>
      <c r="I120">
        <v>41.3</v>
      </c>
      <c r="J120">
        <v>6.2</v>
      </c>
      <c r="L120" t="s">
        <v>195</v>
      </c>
    </row>
    <row r="121" spans="1:12" x14ac:dyDescent="0.25">
      <c r="A121">
        <v>1791321596001</v>
      </c>
      <c r="B121" t="s">
        <v>31</v>
      </c>
      <c r="C121" t="s">
        <v>32</v>
      </c>
      <c r="D121" t="s">
        <v>196</v>
      </c>
      <c r="E121">
        <v>2.2042026041791301E+48</v>
      </c>
      <c r="F121" s="5">
        <v>46134.668900462966</v>
      </c>
      <c r="G121" s="6">
        <v>46134</v>
      </c>
      <c r="H121">
        <v>190401685001</v>
      </c>
      <c r="I121">
        <v>35.22</v>
      </c>
      <c r="J121">
        <v>5.28</v>
      </c>
      <c r="L121" t="s">
        <v>197</v>
      </c>
    </row>
    <row r="122" spans="1:12" x14ac:dyDescent="0.25">
      <c r="A122">
        <v>1791321596001</v>
      </c>
      <c r="B122" t="s">
        <v>31</v>
      </c>
      <c r="C122" t="s">
        <v>32</v>
      </c>
      <c r="D122" t="s">
        <v>198</v>
      </c>
      <c r="E122">
        <v>2.2042026041791301E+48</v>
      </c>
      <c r="F122" s="5">
        <v>46134.494791666664</v>
      </c>
      <c r="G122" s="6">
        <v>46134</v>
      </c>
      <c r="H122">
        <v>190401685001</v>
      </c>
      <c r="I122">
        <v>14726.46</v>
      </c>
      <c r="J122">
        <v>2208.9699999999998</v>
      </c>
      <c r="L122" t="s">
        <v>34</v>
      </c>
    </row>
    <row r="123" spans="1:12" x14ac:dyDescent="0.25">
      <c r="A123">
        <v>1791321596001</v>
      </c>
      <c r="B123" t="s">
        <v>31</v>
      </c>
      <c r="C123" t="s">
        <v>32</v>
      </c>
      <c r="D123" t="s">
        <v>199</v>
      </c>
      <c r="E123">
        <v>2.2042026041791301E+48</v>
      </c>
      <c r="F123" s="5">
        <v>46134.492372685185</v>
      </c>
      <c r="G123" s="6">
        <v>46134</v>
      </c>
      <c r="H123">
        <v>190401685001</v>
      </c>
      <c r="I123">
        <v>5183.62</v>
      </c>
      <c r="J123">
        <v>777.54</v>
      </c>
      <c r="L123" t="s">
        <v>47</v>
      </c>
    </row>
    <row r="124" spans="1:12" x14ac:dyDescent="0.25">
      <c r="A124">
        <v>1791321596001</v>
      </c>
      <c r="B124" t="s">
        <v>31</v>
      </c>
      <c r="C124" t="s">
        <v>32</v>
      </c>
      <c r="D124" t="s">
        <v>200</v>
      </c>
      <c r="E124">
        <v>2.2042026041791301E+48</v>
      </c>
      <c r="F124" s="5">
        <v>46134.668842592589</v>
      </c>
      <c r="G124" s="6">
        <v>46134</v>
      </c>
      <c r="H124">
        <v>190401685001</v>
      </c>
      <c r="I124">
        <v>16.52</v>
      </c>
      <c r="J124">
        <v>2.48</v>
      </c>
      <c r="L124" t="s">
        <v>201</v>
      </c>
    </row>
    <row r="125" spans="1:12" x14ac:dyDescent="0.25">
      <c r="A125">
        <v>1791321596001</v>
      </c>
      <c r="B125" t="s">
        <v>8</v>
      </c>
      <c r="C125" t="s">
        <v>32</v>
      </c>
      <c r="D125" t="s">
        <v>202</v>
      </c>
      <c r="E125">
        <v>2.2042026041791301E+48</v>
      </c>
      <c r="F125" s="5">
        <v>46134.434444444443</v>
      </c>
      <c r="G125" s="6">
        <v>46134</v>
      </c>
      <c r="H125">
        <v>190401685001</v>
      </c>
      <c r="I125">
        <v>750</v>
      </c>
      <c r="J125">
        <v>112.5</v>
      </c>
      <c r="L125" t="s">
        <v>153</v>
      </c>
    </row>
    <row r="126" spans="1:12" x14ac:dyDescent="0.25">
      <c r="A126">
        <v>1791321596001</v>
      </c>
      <c r="B126" t="s">
        <v>31</v>
      </c>
      <c r="C126" t="s">
        <v>32</v>
      </c>
      <c r="D126" t="s">
        <v>203</v>
      </c>
      <c r="E126">
        <v>2.2042026041791301E+48</v>
      </c>
      <c r="F126" s="5">
        <v>46134.553796296299</v>
      </c>
      <c r="G126" s="6">
        <v>46134</v>
      </c>
      <c r="H126">
        <v>190401685001</v>
      </c>
      <c r="I126">
        <v>1116.3</v>
      </c>
      <c r="J126">
        <v>167.44</v>
      </c>
      <c r="L126" t="s">
        <v>61</v>
      </c>
    </row>
    <row r="127" spans="1:12" x14ac:dyDescent="0.25">
      <c r="A127">
        <v>1791321596001</v>
      </c>
      <c r="B127" t="s">
        <v>31</v>
      </c>
      <c r="C127" t="s">
        <v>32</v>
      </c>
      <c r="D127" t="s">
        <v>204</v>
      </c>
      <c r="E127">
        <v>2.2042026041791301E+48</v>
      </c>
      <c r="F127" s="5">
        <v>46134.552523148152</v>
      </c>
      <c r="G127" s="6">
        <v>46134</v>
      </c>
      <c r="H127">
        <v>190401685001</v>
      </c>
      <c r="I127">
        <v>478.42</v>
      </c>
      <c r="J127">
        <v>71.760000000000005</v>
      </c>
      <c r="L127" t="s">
        <v>34</v>
      </c>
    </row>
    <row r="128" spans="1:12" x14ac:dyDescent="0.25">
      <c r="A128">
        <v>990501750001</v>
      </c>
      <c r="B128" t="s">
        <v>64</v>
      </c>
      <c r="C128" t="s">
        <v>32</v>
      </c>
      <c r="D128" t="s">
        <v>205</v>
      </c>
      <c r="E128">
        <v>2.3042026040990501E+48</v>
      </c>
      <c r="F128" s="5">
        <v>46135.43472222222</v>
      </c>
      <c r="G128" s="6">
        <v>46135</v>
      </c>
      <c r="H128">
        <v>190401685001</v>
      </c>
      <c r="I128">
        <v>3.48</v>
      </c>
      <c r="J128">
        <v>0.52</v>
      </c>
      <c r="L128" t="s">
        <v>206</v>
      </c>
    </row>
    <row r="129" spans="1:12" x14ac:dyDescent="0.25">
      <c r="A129">
        <v>990501750001</v>
      </c>
      <c r="B129" t="s">
        <v>64</v>
      </c>
      <c r="C129" t="s">
        <v>32</v>
      </c>
      <c r="D129" t="s">
        <v>207</v>
      </c>
      <c r="E129">
        <v>2.3042026040990501E+48</v>
      </c>
      <c r="F129" s="5">
        <v>46135.442685185182</v>
      </c>
      <c r="G129" s="6">
        <v>46135</v>
      </c>
      <c r="H129">
        <v>190401685001</v>
      </c>
      <c r="I129">
        <v>13.74</v>
      </c>
      <c r="J129">
        <v>0</v>
      </c>
      <c r="L129" t="s">
        <v>208</v>
      </c>
    </row>
    <row r="130" spans="1:12" x14ac:dyDescent="0.25">
      <c r="A130">
        <v>990501750001</v>
      </c>
      <c r="B130" t="s">
        <v>64</v>
      </c>
      <c r="C130" t="s">
        <v>32</v>
      </c>
      <c r="D130" t="s">
        <v>209</v>
      </c>
      <c r="E130">
        <v>2.3042026040990501E+48</v>
      </c>
      <c r="F130" s="5">
        <v>46135.438437500001</v>
      </c>
      <c r="G130" s="6">
        <v>46135</v>
      </c>
      <c r="H130">
        <v>190401685001</v>
      </c>
      <c r="I130">
        <v>1.1100000000000001</v>
      </c>
      <c r="J130">
        <v>0</v>
      </c>
      <c r="L130" t="s">
        <v>210</v>
      </c>
    </row>
    <row r="131" spans="1:12" x14ac:dyDescent="0.25">
      <c r="A131">
        <v>990501750001</v>
      </c>
      <c r="B131" t="s">
        <v>64</v>
      </c>
      <c r="C131" t="s">
        <v>32</v>
      </c>
      <c r="D131" t="s">
        <v>211</v>
      </c>
      <c r="E131">
        <v>2.3042026040990501E+48</v>
      </c>
      <c r="F131" s="5">
        <v>46135.436296296299</v>
      </c>
      <c r="G131" s="6">
        <v>46135</v>
      </c>
      <c r="H131">
        <v>190401685001</v>
      </c>
      <c r="I131">
        <v>1.75</v>
      </c>
      <c r="J131">
        <v>0.26</v>
      </c>
      <c r="L131" t="s">
        <v>212</v>
      </c>
    </row>
    <row r="132" spans="1:12" x14ac:dyDescent="0.25">
      <c r="A132">
        <v>990501750001</v>
      </c>
      <c r="B132" t="s">
        <v>64</v>
      </c>
      <c r="C132" t="s">
        <v>32</v>
      </c>
      <c r="D132" t="s">
        <v>213</v>
      </c>
      <c r="E132">
        <v>2.3042026040990501E+48</v>
      </c>
      <c r="F132" s="5">
        <v>46135.433668981481</v>
      </c>
      <c r="G132" s="6">
        <v>46135</v>
      </c>
      <c r="H132">
        <v>190401685001</v>
      </c>
      <c r="I132">
        <v>1.25</v>
      </c>
      <c r="J132">
        <v>0.19</v>
      </c>
      <c r="L132" t="s">
        <v>214</v>
      </c>
    </row>
    <row r="133" spans="1:12" x14ac:dyDescent="0.25">
      <c r="A133">
        <v>990501750001</v>
      </c>
      <c r="B133" t="s">
        <v>64</v>
      </c>
      <c r="C133" t="s">
        <v>32</v>
      </c>
      <c r="D133" t="s">
        <v>215</v>
      </c>
      <c r="E133">
        <v>2.3042026040990501E+48</v>
      </c>
      <c r="F133" s="5">
        <v>46135.44321759259</v>
      </c>
      <c r="G133" s="6">
        <v>46135</v>
      </c>
      <c r="H133">
        <v>190401685001</v>
      </c>
      <c r="I133">
        <v>1.89</v>
      </c>
      <c r="J133">
        <v>0.28000000000000003</v>
      </c>
      <c r="L133" t="s">
        <v>216</v>
      </c>
    </row>
    <row r="134" spans="1:12" x14ac:dyDescent="0.25">
      <c r="A134">
        <v>990501750001</v>
      </c>
      <c r="B134" t="s">
        <v>64</v>
      </c>
      <c r="C134" t="s">
        <v>32</v>
      </c>
      <c r="D134" t="s">
        <v>217</v>
      </c>
      <c r="E134">
        <v>2.3042026040990501E+48</v>
      </c>
      <c r="F134" s="5">
        <v>46135.439513888887</v>
      </c>
      <c r="G134" s="6">
        <v>46135</v>
      </c>
      <c r="H134">
        <v>190401685001</v>
      </c>
      <c r="I134">
        <v>0.71</v>
      </c>
      <c r="J134">
        <v>0.11</v>
      </c>
      <c r="L134" t="s">
        <v>206</v>
      </c>
    </row>
    <row r="135" spans="1:12" x14ac:dyDescent="0.25">
      <c r="A135">
        <v>990501750001</v>
      </c>
      <c r="B135" t="s">
        <v>64</v>
      </c>
      <c r="C135" t="s">
        <v>32</v>
      </c>
      <c r="D135" t="s">
        <v>218</v>
      </c>
      <c r="E135">
        <v>2.3042026040990501E+48</v>
      </c>
      <c r="F135" s="5">
        <v>46135.42454861111</v>
      </c>
      <c r="G135" s="6">
        <v>46135</v>
      </c>
      <c r="H135">
        <v>190401685001</v>
      </c>
      <c r="I135">
        <v>107.97</v>
      </c>
      <c r="J135">
        <v>16.2</v>
      </c>
      <c r="L135" t="s">
        <v>219</v>
      </c>
    </row>
    <row r="136" spans="1:12" x14ac:dyDescent="0.25">
      <c r="A136">
        <v>990501750001</v>
      </c>
      <c r="B136" t="s">
        <v>64</v>
      </c>
      <c r="C136" t="s">
        <v>32</v>
      </c>
      <c r="D136" t="s">
        <v>220</v>
      </c>
      <c r="E136">
        <v>2.3042026040990501E+48</v>
      </c>
      <c r="F136" s="5">
        <v>46135.436863425923</v>
      </c>
      <c r="G136" s="6">
        <v>46135</v>
      </c>
      <c r="H136">
        <v>190401685001</v>
      </c>
      <c r="I136">
        <v>9.4600000000000009</v>
      </c>
      <c r="J136">
        <v>1.42</v>
      </c>
      <c r="L136" t="s">
        <v>221</v>
      </c>
    </row>
    <row r="137" spans="1:12" x14ac:dyDescent="0.25">
      <c r="A137">
        <v>990501750001</v>
      </c>
      <c r="B137" t="s">
        <v>64</v>
      </c>
      <c r="C137" t="s">
        <v>32</v>
      </c>
      <c r="D137" t="s">
        <v>222</v>
      </c>
      <c r="E137">
        <v>2.3042026040990501E+48</v>
      </c>
      <c r="F137" s="5">
        <v>46135.437916666669</v>
      </c>
      <c r="G137" s="6">
        <v>46135</v>
      </c>
      <c r="H137">
        <v>190401685001</v>
      </c>
      <c r="I137">
        <v>7.0000000000000007E-2</v>
      </c>
      <c r="J137">
        <v>0.01</v>
      </c>
      <c r="L137" t="s">
        <v>216</v>
      </c>
    </row>
    <row r="138" spans="1:12" x14ac:dyDescent="0.25">
      <c r="A138">
        <v>990501750001</v>
      </c>
      <c r="B138" t="s">
        <v>64</v>
      </c>
      <c r="C138" t="s">
        <v>32</v>
      </c>
      <c r="D138" t="s">
        <v>223</v>
      </c>
      <c r="E138">
        <v>2.3042026040990501E+48</v>
      </c>
      <c r="F138" s="5">
        <v>46135.42454861111</v>
      </c>
      <c r="G138" s="6">
        <v>46135</v>
      </c>
      <c r="H138">
        <v>190401685001</v>
      </c>
      <c r="I138">
        <v>1866.44</v>
      </c>
      <c r="J138">
        <v>279.97000000000003</v>
      </c>
      <c r="L138" t="s">
        <v>91</v>
      </c>
    </row>
    <row r="139" spans="1:12" x14ac:dyDescent="0.25">
      <c r="A139">
        <v>990501750001</v>
      </c>
      <c r="B139" t="s">
        <v>64</v>
      </c>
      <c r="C139" t="s">
        <v>32</v>
      </c>
      <c r="D139" t="s">
        <v>224</v>
      </c>
      <c r="E139">
        <v>2.3042026040990501E+48</v>
      </c>
      <c r="F139" s="5">
        <v>46135.437384259261</v>
      </c>
      <c r="G139" s="6">
        <v>46135</v>
      </c>
      <c r="H139">
        <v>190401685001</v>
      </c>
      <c r="I139">
        <v>29.89</v>
      </c>
      <c r="J139">
        <v>0</v>
      </c>
      <c r="L139" t="s">
        <v>208</v>
      </c>
    </row>
    <row r="140" spans="1:12" x14ac:dyDescent="0.25">
      <c r="A140">
        <v>990501750001</v>
      </c>
      <c r="B140" t="s">
        <v>64</v>
      </c>
      <c r="C140" t="s">
        <v>32</v>
      </c>
      <c r="D140" t="s">
        <v>225</v>
      </c>
      <c r="E140">
        <v>2.3042026040990501E+48</v>
      </c>
      <c r="F140" s="5">
        <v>46135.425127314818</v>
      </c>
      <c r="G140" s="6">
        <v>46135</v>
      </c>
      <c r="H140">
        <v>190401685001</v>
      </c>
      <c r="I140">
        <v>229.53</v>
      </c>
      <c r="J140">
        <v>0</v>
      </c>
      <c r="L140" t="s">
        <v>219</v>
      </c>
    </row>
    <row r="141" spans="1:12" x14ac:dyDescent="0.25">
      <c r="A141">
        <v>990501750001</v>
      </c>
      <c r="B141" t="s">
        <v>64</v>
      </c>
      <c r="C141" t="s">
        <v>32</v>
      </c>
      <c r="D141" t="s">
        <v>226</v>
      </c>
      <c r="E141">
        <v>2.3042026040990501E+48</v>
      </c>
      <c r="F141" s="5">
        <v>46135.441087962965</v>
      </c>
      <c r="G141" s="6">
        <v>46135</v>
      </c>
      <c r="H141">
        <v>190401685001</v>
      </c>
      <c r="I141">
        <v>2.66</v>
      </c>
      <c r="J141">
        <v>0.4</v>
      </c>
      <c r="L141" t="s">
        <v>212</v>
      </c>
    </row>
    <row r="142" spans="1:12" x14ac:dyDescent="0.25">
      <c r="A142">
        <v>990501750001</v>
      </c>
      <c r="B142" t="s">
        <v>64</v>
      </c>
      <c r="C142" t="s">
        <v>32</v>
      </c>
      <c r="D142" t="s">
        <v>227</v>
      </c>
      <c r="E142">
        <v>2.3042026040990501E+48</v>
      </c>
      <c r="F142" s="5">
        <v>46135.425081018519</v>
      </c>
      <c r="G142" s="6">
        <v>46135</v>
      </c>
      <c r="H142">
        <v>190401685001</v>
      </c>
      <c r="I142">
        <v>443.21</v>
      </c>
      <c r="J142">
        <v>0</v>
      </c>
      <c r="L142" t="s">
        <v>219</v>
      </c>
    </row>
    <row r="143" spans="1:12" x14ac:dyDescent="0.25">
      <c r="A143">
        <v>990501750001</v>
      </c>
      <c r="B143" t="s">
        <v>64</v>
      </c>
      <c r="C143" t="s">
        <v>32</v>
      </c>
      <c r="D143" t="s">
        <v>228</v>
      </c>
      <c r="E143">
        <v>2.3042026040990501E+48</v>
      </c>
      <c r="F143" s="5">
        <v>46135.441620370373</v>
      </c>
      <c r="G143" s="6">
        <v>46135</v>
      </c>
      <c r="H143">
        <v>190401685001</v>
      </c>
      <c r="I143">
        <v>5.74</v>
      </c>
      <c r="J143">
        <v>0.86</v>
      </c>
      <c r="L143" t="s">
        <v>91</v>
      </c>
    </row>
    <row r="144" spans="1:12" x14ac:dyDescent="0.25">
      <c r="A144">
        <v>990335028001</v>
      </c>
      <c r="B144" t="s">
        <v>41</v>
      </c>
      <c r="C144" t="s">
        <v>32</v>
      </c>
      <c r="D144" t="s">
        <v>229</v>
      </c>
      <c r="E144">
        <v>2.3042026040990299E+48</v>
      </c>
      <c r="F144" s="5">
        <v>46135.724282407406</v>
      </c>
      <c r="G144" s="6">
        <v>46135</v>
      </c>
      <c r="H144">
        <v>190401685001</v>
      </c>
      <c r="I144">
        <v>963.67</v>
      </c>
      <c r="J144">
        <v>144.55000000000001</v>
      </c>
      <c r="L144" t="s">
        <v>230</v>
      </c>
    </row>
    <row r="145" spans="1:12" x14ac:dyDescent="0.25">
      <c r="A145">
        <v>990335028001</v>
      </c>
      <c r="B145" t="s">
        <v>41</v>
      </c>
      <c r="C145" t="s">
        <v>32</v>
      </c>
      <c r="D145" t="s">
        <v>231</v>
      </c>
      <c r="E145">
        <v>2.3042026040990299E+48</v>
      </c>
      <c r="F145" s="5">
        <v>46135.72084490741</v>
      </c>
      <c r="G145" s="6">
        <v>46135</v>
      </c>
      <c r="H145">
        <v>190401685001</v>
      </c>
      <c r="I145">
        <v>688.34</v>
      </c>
      <c r="J145">
        <v>103.25</v>
      </c>
      <c r="L145" t="s">
        <v>230</v>
      </c>
    </row>
    <row r="146" spans="1:12" x14ac:dyDescent="0.25">
      <c r="A146">
        <v>990335028001</v>
      </c>
      <c r="B146" t="s">
        <v>41</v>
      </c>
      <c r="C146" t="s">
        <v>32</v>
      </c>
      <c r="D146" t="s">
        <v>232</v>
      </c>
      <c r="E146">
        <v>2.40420260409903E+48</v>
      </c>
      <c r="F146" s="5">
        <v>46136.669918981483</v>
      </c>
      <c r="G146" s="6">
        <v>46136</v>
      </c>
      <c r="H146">
        <v>190401685001</v>
      </c>
      <c r="I146">
        <v>980</v>
      </c>
      <c r="J146">
        <v>147</v>
      </c>
      <c r="L146" t="s">
        <v>233</v>
      </c>
    </row>
    <row r="147" spans="1:12" x14ac:dyDescent="0.25">
      <c r="A147">
        <v>990335028001</v>
      </c>
      <c r="B147" t="s">
        <v>41</v>
      </c>
      <c r="C147" t="s">
        <v>32</v>
      </c>
      <c r="D147" t="s">
        <v>234</v>
      </c>
      <c r="E147">
        <v>2.40420260409903E+48</v>
      </c>
      <c r="F147" s="5">
        <v>46136.669606481482</v>
      </c>
      <c r="G147" s="6">
        <v>46136</v>
      </c>
      <c r="H147">
        <v>190401685001</v>
      </c>
      <c r="I147">
        <v>74</v>
      </c>
      <c r="J147">
        <v>11.1</v>
      </c>
      <c r="L147" t="s">
        <v>230</v>
      </c>
    </row>
    <row r="148" spans="1:12" x14ac:dyDescent="0.25">
      <c r="A148">
        <v>990335028001</v>
      </c>
      <c r="B148" t="s">
        <v>41</v>
      </c>
      <c r="C148" t="s">
        <v>32</v>
      </c>
      <c r="D148" t="s">
        <v>235</v>
      </c>
      <c r="E148">
        <v>2.40420260409903E+48</v>
      </c>
      <c r="F148" s="5">
        <v>46136.669490740744</v>
      </c>
      <c r="G148" s="6">
        <v>46136</v>
      </c>
      <c r="H148">
        <v>190401685001</v>
      </c>
      <c r="I148">
        <v>5047.66</v>
      </c>
      <c r="J148">
        <v>757.15</v>
      </c>
      <c r="L148" t="s">
        <v>230</v>
      </c>
    </row>
    <row r="149" spans="1:12" x14ac:dyDescent="0.25">
      <c r="A149">
        <v>990501750001</v>
      </c>
      <c r="B149" t="s">
        <v>64</v>
      </c>
      <c r="C149" t="s">
        <v>32</v>
      </c>
      <c r="D149" t="s">
        <v>236</v>
      </c>
      <c r="E149">
        <v>2.4042026040990501E+48</v>
      </c>
      <c r="F149" s="5">
        <v>46136.696759259263</v>
      </c>
      <c r="G149" s="6">
        <v>46136</v>
      </c>
      <c r="H149">
        <v>190401685001</v>
      </c>
      <c r="I149">
        <v>43.86</v>
      </c>
      <c r="J149">
        <v>6.58</v>
      </c>
      <c r="L149" t="s">
        <v>237</v>
      </c>
    </row>
    <row r="150" spans="1:12" x14ac:dyDescent="0.25">
      <c r="A150">
        <v>1791321596001</v>
      </c>
      <c r="B150" t="s">
        <v>31</v>
      </c>
      <c r="C150" t="s">
        <v>32</v>
      </c>
      <c r="D150" t="s">
        <v>238</v>
      </c>
      <c r="E150">
        <v>2.40420260417913E+48</v>
      </c>
      <c r="F150" s="5">
        <v>46136.4219212963</v>
      </c>
      <c r="G150" s="6">
        <v>46136</v>
      </c>
      <c r="H150">
        <v>190401685001</v>
      </c>
      <c r="I150">
        <v>1969.11</v>
      </c>
      <c r="J150">
        <v>295.38</v>
      </c>
      <c r="L150" t="s">
        <v>239</v>
      </c>
    </row>
    <row r="151" spans="1:12" x14ac:dyDescent="0.25">
      <c r="A151">
        <v>1791321596001</v>
      </c>
      <c r="B151" t="s">
        <v>8</v>
      </c>
      <c r="C151" t="s">
        <v>32</v>
      </c>
      <c r="D151" t="s">
        <v>240</v>
      </c>
      <c r="E151">
        <v>2.40420260417913E+48</v>
      </c>
      <c r="F151" s="5">
        <v>46136.415127314816</v>
      </c>
      <c r="G151" s="6">
        <v>46136</v>
      </c>
      <c r="H151">
        <v>190401685001</v>
      </c>
      <c r="I151">
        <v>4342.66</v>
      </c>
      <c r="J151">
        <v>651.4</v>
      </c>
      <c r="L151" t="s">
        <v>153</v>
      </c>
    </row>
    <row r="152" spans="1:12" x14ac:dyDescent="0.25">
      <c r="A152">
        <v>1791321596001</v>
      </c>
      <c r="B152" t="s">
        <v>31</v>
      </c>
      <c r="C152" t="s">
        <v>32</v>
      </c>
      <c r="D152" t="s">
        <v>241</v>
      </c>
      <c r="E152">
        <v>2.40420260417913E+48</v>
      </c>
      <c r="F152" s="5">
        <v>46136.410358796296</v>
      </c>
      <c r="G152" s="6">
        <v>46136</v>
      </c>
      <c r="H152">
        <v>190401685001</v>
      </c>
      <c r="I152">
        <v>3003.82</v>
      </c>
      <c r="J152">
        <v>450.57</v>
      </c>
      <c r="L152" t="s">
        <v>47</v>
      </c>
    </row>
    <row r="153" spans="1:12" x14ac:dyDescent="0.25">
      <c r="A153">
        <v>1791321596001</v>
      </c>
      <c r="B153" t="s">
        <v>31</v>
      </c>
      <c r="C153" t="s">
        <v>32</v>
      </c>
      <c r="D153" t="s">
        <v>242</v>
      </c>
      <c r="E153">
        <v>2.40420260417913E+48</v>
      </c>
      <c r="F153" s="5">
        <v>46136.4219212963</v>
      </c>
      <c r="G153" s="6">
        <v>46136</v>
      </c>
      <c r="H153">
        <v>190401685001</v>
      </c>
      <c r="I153">
        <v>4700.49</v>
      </c>
      <c r="J153">
        <v>705.06</v>
      </c>
      <c r="L153" t="s">
        <v>54</v>
      </c>
    </row>
    <row r="154" spans="1:12" x14ac:dyDescent="0.25">
      <c r="A154">
        <v>990335028001</v>
      </c>
      <c r="B154" t="s">
        <v>41</v>
      </c>
      <c r="C154" t="s">
        <v>32</v>
      </c>
      <c r="D154" t="s">
        <v>243</v>
      </c>
      <c r="E154">
        <v>2.40420260409903E+48</v>
      </c>
      <c r="F154" s="5">
        <v>46136.669340277775</v>
      </c>
      <c r="G154" s="6">
        <v>46136</v>
      </c>
      <c r="H154">
        <v>190401685001</v>
      </c>
      <c r="I154">
        <v>446</v>
      </c>
      <c r="J154">
        <v>66.900000000000006</v>
      </c>
      <c r="L154" t="s">
        <v>233</v>
      </c>
    </row>
    <row r="155" spans="1:12" x14ac:dyDescent="0.25">
      <c r="A155">
        <v>990501750001</v>
      </c>
      <c r="B155" t="s">
        <v>64</v>
      </c>
      <c r="C155" t="s">
        <v>32</v>
      </c>
      <c r="D155" t="s">
        <v>244</v>
      </c>
      <c r="E155">
        <v>2.4042026040990501E+48</v>
      </c>
      <c r="F155" s="5">
        <v>46136.696747685186</v>
      </c>
      <c r="G155" s="6">
        <v>46136</v>
      </c>
      <c r="H155">
        <v>190401685001</v>
      </c>
      <c r="I155">
        <v>614.25</v>
      </c>
      <c r="J155">
        <v>0</v>
      </c>
      <c r="L155" t="s">
        <v>245</v>
      </c>
    </row>
    <row r="156" spans="1:12" x14ac:dyDescent="0.25">
      <c r="A156">
        <v>1791321596001</v>
      </c>
      <c r="B156" t="s">
        <v>8</v>
      </c>
      <c r="C156" t="s">
        <v>32</v>
      </c>
      <c r="D156" t="s">
        <v>246</v>
      </c>
      <c r="E156">
        <v>2.40420260417913E+48</v>
      </c>
      <c r="F156" s="5">
        <v>46136.704641203702</v>
      </c>
      <c r="G156" s="6">
        <v>46136</v>
      </c>
      <c r="H156">
        <v>190401685001</v>
      </c>
      <c r="I156">
        <v>9122</v>
      </c>
      <c r="J156">
        <v>1368.3</v>
      </c>
      <c r="L156" t="s">
        <v>153</v>
      </c>
    </row>
    <row r="157" spans="1:12" x14ac:dyDescent="0.25">
      <c r="A157">
        <v>990335028001</v>
      </c>
      <c r="B157" t="s">
        <v>41</v>
      </c>
      <c r="C157" t="s">
        <v>32</v>
      </c>
      <c r="D157" t="s">
        <v>247</v>
      </c>
      <c r="E157">
        <v>2.40420260409903E+48</v>
      </c>
      <c r="F157" s="5">
        <v>46136.669687499998</v>
      </c>
      <c r="G157" s="6">
        <v>46136</v>
      </c>
      <c r="H157">
        <v>190401685001</v>
      </c>
      <c r="I157">
        <v>700.11</v>
      </c>
      <c r="J157">
        <v>105.02</v>
      </c>
      <c r="L157" t="s">
        <v>233</v>
      </c>
    </row>
    <row r="158" spans="1:12" x14ac:dyDescent="0.25">
      <c r="A158">
        <v>1791321596001</v>
      </c>
      <c r="B158" t="s">
        <v>31</v>
      </c>
      <c r="C158" t="s">
        <v>32</v>
      </c>
      <c r="D158" t="s">
        <v>248</v>
      </c>
      <c r="E158">
        <v>2.40420260417913E+48</v>
      </c>
      <c r="F158" s="5">
        <v>46136.411215277774</v>
      </c>
      <c r="G158" s="6">
        <v>46136</v>
      </c>
      <c r="H158">
        <v>190401685001</v>
      </c>
      <c r="I158">
        <v>8084.89</v>
      </c>
      <c r="J158">
        <v>1212.73</v>
      </c>
      <c r="L158" t="s">
        <v>34</v>
      </c>
    </row>
    <row r="159" spans="1:12" x14ac:dyDescent="0.25">
      <c r="A159">
        <v>1791321596001</v>
      </c>
      <c r="B159" t="s">
        <v>31</v>
      </c>
      <c r="C159" t="s">
        <v>32</v>
      </c>
      <c r="D159" t="s">
        <v>249</v>
      </c>
      <c r="E159">
        <v>2.40420260417913E+48</v>
      </c>
      <c r="F159" s="5">
        <v>46136.411203703705</v>
      </c>
      <c r="G159" s="6">
        <v>46136</v>
      </c>
      <c r="H159">
        <v>190401685001</v>
      </c>
      <c r="I159">
        <v>3380.16</v>
      </c>
      <c r="J159">
        <v>507.02</v>
      </c>
      <c r="L159" t="s">
        <v>47</v>
      </c>
    </row>
    <row r="160" spans="1:12" x14ac:dyDescent="0.25">
      <c r="A160">
        <v>1791321596001</v>
      </c>
      <c r="B160" t="s">
        <v>31</v>
      </c>
      <c r="C160" t="s">
        <v>32</v>
      </c>
      <c r="D160" t="s">
        <v>250</v>
      </c>
      <c r="E160">
        <v>2.40420260417913E+48</v>
      </c>
      <c r="F160" s="5">
        <v>46136.422303240739</v>
      </c>
      <c r="G160" s="6">
        <v>46136</v>
      </c>
      <c r="H160">
        <v>190401685001</v>
      </c>
      <c r="I160">
        <v>669.57</v>
      </c>
      <c r="J160">
        <v>100.44</v>
      </c>
      <c r="L160" t="s">
        <v>251</v>
      </c>
    </row>
    <row r="161" spans="1:12" x14ac:dyDescent="0.25">
      <c r="A161">
        <v>1791321596001</v>
      </c>
      <c r="B161" t="s">
        <v>31</v>
      </c>
      <c r="C161" t="s">
        <v>32</v>
      </c>
      <c r="D161" t="s">
        <v>252</v>
      </c>
      <c r="E161">
        <v>2.50420260417913E+48</v>
      </c>
      <c r="F161" s="5">
        <v>46139.464988425927</v>
      </c>
      <c r="G161" s="6">
        <v>46137</v>
      </c>
      <c r="H161">
        <v>190401685001</v>
      </c>
      <c r="I161">
        <v>395.71</v>
      </c>
      <c r="J161">
        <v>59.36</v>
      </c>
      <c r="L161" t="s">
        <v>61</v>
      </c>
    </row>
    <row r="162" spans="1:12" x14ac:dyDescent="0.25">
      <c r="A162">
        <v>1791321596001</v>
      </c>
      <c r="B162" t="s">
        <v>31</v>
      </c>
      <c r="C162" t="s">
        <v>32</v>
      </c>
      <c r="D162" t="s">
        <v>253</v>
      </c>
      <c r="E162">
        <v>2.50420260417913E+48</v>
      </c>
      <c r="F162" s="5">
        <v>46139.459907407407</v>
      </c>
      <c r="G162" s="6">
        <v>46137</v>
      </c>
      <c r="H162">
        <v>190401685001</v>
      </c>
      <c r="I162">
        <v>1016</v>
      </c>
      <c r="J162">
        <v>152.4</v>
      </c>
      <c r="L162" t="s">
        <v>71</v>
      </c>
    </row>
    <row r="163" spans="1:12" x14ac:dyDescent="0.25">
      <c r="A163">
        <v>1791321596001</v>
      </c>
      <c r="B163" t="s">
        <v>8</v>
      </c>
      <c r="C163" t="s">
        <v>32</v>
      </c>
      <c r="D163" t="s">
        <v>254</v>
      </c>
      <c r="E163">
        <v>2.50420260417913E+48</v>
      </c>
      <c r="F163" s="5">
        <v>46139.466203703705</v>
      </c>
      <c r="G163" s="6">
        <v>46137</v>
      </c>
      <c r="H163">
        <v>190401685001</v>
      </c>
      <c r="I163">
        <v>1.45</v>
      </c>
      <c r="J163">
        <v>0.22</v>
      </c>
      <c r="L163" t="s">
        <v>153</v>
      </c>
    </row>
    <row r="164" spans="1:12" x14ac:dyDescent="0.25">
      <c r="A164">
        <v>1791321596001</v>
      </c>
      <c r="B164" t="s">
        <v>31</v>
      </c>
      <c r="C164" t="s">
        <v>32</v>
      </c>
      <c r="D164" t="s">
        <v>255</v>
      </c>
      <c r="E164">
        <v>2.50420260417913E+48</v>
      </c>
      <c r="F164" s="5">
        <v>46139.465162037035</v>
      </c>
      <c r="G164" s="6">
        <v>46137</v>
      </c>
      <c r="H164">
        <v>190401685001</v>
      </c>
      <c r="I164">
        <v>977.11</v>
      </c>
      <c r="J164">
        <v>146.56</v>
      </c>
      <c r="L164" t="s">
        <v>47</v>
      </c>
    </row>
    <row r="165" spans="1:12" x14ac:dyDescent="0.25">
      <c r="A165">
        <v>1791321596001</v>
      </c>
      <c r="B165" t="s">
        <v>31</v>
      </c>
      <c r="C165" t="s">
        <v>32</v>
      </c>
      <c r="D165" t="s">
        <v>256</v>
      </c>
      <c r="E165">
        <v>2.50420260417913E+48</v>
      </c>
      <c r="F165" s="5">
        <v>46139.465104166666</v>
      </c>
      <c r="G165" s="6">
        <v>46137</v>
      </c>
      <c r="H165">
        <v>190401685001</v>
      </c>
      <c r="I165">
        <v>43.39</v>
      </c>
      <c r="J165">
        <v>6.51</v>
      </c>
      <c r="L165" t="s">
        <v>71</v>
      </c>
    </row>
    <row r="166" spans="1:12" x14ac:dyDescent="0.25">
      <c r="A166">
        <v>1791321596001</v>
      </c>
      <c r="B166" t="s">
        <v>31</v>
      </c>
      <c r="C166" t="s">
        <v>32</v>
      </c>
      <c r="D166" t="s">
        <v>257</v>
      </c>
      <c r="E166">
        <v>2.50420260417913E+48</v>
      </c>
      <c r="F166" s="5">
        <v>46139.464999999997</v>
      </c>
      <c r="G166" s="6">
        <v>46137</v>
      </c>
      <c r="H166">
        <v>190401685001</v>
      </c>
      <c r="I166">
        <v>650.92999999999995</v>
      </c>
      <c r="J166">
        <v>97.64</v>
      </c>
      <c r="L166" t="s">
        <v>71</v>
      </c>
    </row>
    <row r="167" spans="1:12" x14ac:dyDescent="0.25">
      <c r="A167">
        <v>1791321596001</v>
      </c>
      <c r="B167" t="s">
        <v>31</v>
      </c>
      <c r="C167" t="s">
        <v>32</v>
      </c>
      <c r="D167" t="s">
        <v>258</v>
      </c>
      <c r="E167">
        <v>2.50420260417913E+48</v>
      </c>
      <c r="F167" s="5">
        <v>46139.46497685185</v>
      </c>
      <c r="G167" s="6">
        <v>46137</v>
      </c>
      <c r="H167">
        <v>190401685001</v>
      </c>
      <c r="I167">
        <v>400.05</v>
      </c>
      <c r="J167">
        <v>60.01</v>
      </c>
      <c r="L167" t="s">
        <v>71</v>
      </c>
    </row>
    <row r="168" spans="1:12" x14ac:dyDescent="0.25">
      <c r="A168">
        <v>1791321596001</v>
      </c>
      <c r="B168" t="s">
        <v>31</v>
      </c>
      <c r="C168" t="s">
        <v>32</v>
      </c>
      <c r="D168" t="s">
        <v>259</v>
      </c>
      <c r="E168">
        <v>2.50420260417913E+48</v>
      </c>
      <c r="F168" s="5">
        <v>46139.459907407407</v>
      </c>
      <c r="G168" s="6">
        <v>46137</v>
      </c>
      <c r="H168">
        <v>190401685001</v>
      </c>
      <c r="I168">
        <v>2402</v>
      </c>
      <c r="J168">
        <v>360.3</v>
      </c>
      <c r="L168" t="s">
        <v>61</v>
      </c>
    </row>
    <row r="169" spans="1:12" x14ac:dyDescent="0.25">
      <c r="A169">
        <v>1791321596001</v>
      </c>
      <c r="B169" t="s">
        <v>31</v>
      </c>
      <c r="C169" t="s">
        <v>32</v>
      </c>
      <c r="D169" t="s">
        <v>260</v>
      </c>
      <c r="E169">
        <v>2.50420260417913E+48</v>
      </c>
      <c r="F169" s="5">
        <v>46139.464988425927</v>
      </c>
      <c r="G169" s="6">
        <v>46137</v>
      </c>
      <c r="H169">
        <v>190401685001</v>
      </c>
      <c r="I169">
        <v>331.85</v>
      </c>
      <c r="J169">
        <v>49.78</v>
      </c>
      <c r="L169" t="s">
        <v>71</v>
      </c>
    </row>
    <row r="170" spans="1:12" x14ac:dyDescent="0.25">
      <c r="A170">
        <v>1791321596001</v>
      </c>
      <c r="B170" t="s">
        <v>31</v>
      </c>
      <c r="C170" t="s">
        <v>32</v>
      </c>
      <c r="D170" t="s">
        <v>261</v>
      </c>
      <c r="E170">
        <v>2.50420260417913E+48</v>
      </c>
      <c r="F170" s="5">
        <v>46139.46502314815</v>
      </c>
      <c r="G170" s="6">
        <v>46137</v>
      </c>
      <c r="H170">
        <v>190401685001</v>
      </c>
      <c r="I170">
        <v>133.74</v>
      </c>
      <c r="J170">
        <v>20.059999999999999</v>
      </c>
      <c r="L170" t="s">
        <v>71</v>
      </c>
    </row>
    <row r="171" spans="1:12" x14ac:dyDescent="0.25">
      <c r="A171">
        <v>1791321596001</v>
      </c>
      <c r="B171" t="s">
        <v>31</v>
      </c>
      <c r="C171" t="s">
        <v>32</v>
      </c>
      <c r="D171" t="s">
        <v>262</v>
      </c>
      <c r="E171">
        <v>2.50420260417913E+48</v>
      </c>
      <c r="F171" s="5">
        <v>46139.46502314815</v>
      </c>
      <c r="G171" s="6">
        <v>46137</v>
      </c>
      <c r="H171">
        <v>190401685001</v>
      </c>
      <c r="I171">
        <v>145.63999999999999</v>
      </c>
      <c r="J171">
        <v>21.85</v>
      </c>
      <c r="L171" t="s">
        <v>61</v>
      </c>
    </row>
    <row r="172" spans="1:12" x14ac:dyDescent="0.25">
      <c r="A172">
        <v>1791321596001</v>
      </c>
      <c r="B172" t="s">
        <v>31</v>
      </c>
      <c r="C172" t="s">
        <v>32</v>
      </c>
      <c r="D172" t="s">
        <v>263</v>
      </c>
      <c r="E172">
        <v>2.80420260417913E+48</v>
      </c>
      <c r="F172" s="5">
        <v>46140.690648148149</v>
      </c>
      <c r="G172" s="6">
        <v>46140</v>
      </c>
      <c r="H172">
        <v>190401685001</v>
      </c>
      <c r="I172">
        <v>2494.59</v>
      </c>
      <c r="J172">
        <v>374.19</v>
      </c>
      <c r="L172" t="s">
        <v>47</v>
      </c>
    </row>
    <row r="173" spans="1:12" x14ac:dyDescent="0.25">
      <c r="A173">
        <v>990501750001</v>
      </c>
      <c r="B173" t="s">
        <v>64</v>
      </c>
      <c r="C173" t="s">
        <v>32</v>
      </c>
      <c r="D173" t="s">
        <v>264</v>
      </c>
      <c r="E173">
        <v>2.8042026040990502E+48</v>
      </c>
      <c r="F173" s="5">
        <v>46140.673182870371</v>
      </c>
      <c r="G173" s="6">
        <v>46140</v>
      </c>
      <c r="H173">
        <v>190401685001</v>
      </c>
      <c r="I173">
        <v>2.0099999999999998</v>
      </c>
      <c r="J173">
        <v>0</v>
      </c>
      <c r="L173" t="s">
        <v>265</v>
      </c>
    </row>
    <row r="174" spans="1:12" x14ac:dyDescent="0.25">
      <c r="A174">
        <v>990335028001</v>
      </c>
      <c r="B174" t="s">
        <v>41</v>
      </c>
      <c r="C174" t="s">
        <v>32</v>
      </c>
      <c r="D174" t="s">
        <v>266</v>
      </c>
      <c r="E174">
        <v>2.80420260409903E+48</v>
      </c>
      <c r="F174" s="5">
        <v>46140.661736111113</v>
      </c>
      <c r="G174" s="6">
        <v>46140</v>
      </c>
      <c r="H174">
        <v>190401685001</v>
      </c>
      <c r="I174">
        <v>801.8</v>
      </c>
      <c r="J174">
        <v>120.27</v>
      </c>
      <c r="L174" t="s">
        <v>267</v>
      </c>
    </row>
    <row r="175" spans="1:12" x14ac:dyDescent="0.25">
      <c r="A175">
        <v>990501750001</v>
      </c>
      <c r="B175" t="s">
        <v>64</v>
      </c>
      <c r="C175" t="s">
        <v>32</v>
      </c>
      <c r="D175" t="s">
        <v>268</v>
      </c>
      <c r="E175">
        <v>2.8042026040990502E+48</v>
      </c>
      <c r="F175" s="5">
        <v>46140.673738425925</v>
      </c>
      <c r="G175" s="6">
        <v>46140</v>
      </c>
      <c r="H175">
        <v>190401685001</v>
      </c>
      <c r="I175">
        <v>64.48</v>
      </c>
      <c r="J175">
        <v>9.67</v>
      </c>
      <c r="L175" t="s">
        <v>265</v>
      </c>
    </row>
    <row r="176" spans="1:12" x14ac:dyDescent="0.25">
      <c r="A176">
        <v>990501750001</v>
      </c>
      <c r="B176" t="s">
        <v>64</v>
      </c>
      <c r="C176" t="s">
        <v>32</v>
      </c>
      <c r="D176" t="s">
        <v>269</v>
      </c>
      <c r="E176">
        <v>2.8042026040990502E+48</v>
      </c>
      <c r="F176" s="5">
        <v>46140.671585648146</v>
      </c>
      <c r="G176" s="6">
        <v>46140</v>
      </c>
      <c r="H176">
        <v>190401685001</v>
      </c>
      <c r="I176">
        <v>2.0099999999999998</v>
      </c>
      <c r="J176">
        <v>0</v>
      </c>
      <c r="L176" t="s">
        <v>245</v>
      </c>
    </row>
    <row r="177" spans="1:12" x14ac:dyDescent="0.25">
      <c r="A177">
        <v>1791321596001</v>
      </c>
      <c r="B177" t="s">
        <v>31</v>
      </c>
      <c r="C177" t="s">
        <v>32</v>
      </c>
      <c r="D177" t="s">
        <v>270</v>
      </c>
      <c r="E177">
        <v>2.80420260417913E+48</v>
      </c>
      <c r="F177" s="5">
        <v>46140.690648148149</v>
      </c>
      <c r="G177" s="6">
        <v>46140</v>
      </c>
      <c r="H177">
        <v>190401685001</v>
      </c>
      <c r="I177">
        <v>6111.69</v>
      </c>
      <c r="J177">
        <v>916.75</v>
      </c>
      <c r="L177" t="s">
        <v>34</v>
      </c>
    </row>
    <row r="178" spans="1:12" x14ac:dyDescent="0.25">
      <c r="A178">
        <v>1791321596001</v>
      </c>
      <c r="B178" t="s">
        <v>31</v>
      </c>
      <c r="C178" t="s">
        <v>32</v>
      </c>
      <c r="D178" t="s">
        <v>271</v>
      </c>
      <c r="E178">
        <v>2.80420260417913E+48</v>
      </c>
      <c r="F178" s="5">
        <v>46140.693541666667</v>
      </c>
      <c r="G178" s="6">
        <v>46140</v>
      </c>
      <c r="H178">
        <v>190401685001</v>
      </c>
      <c r="I178">
        <v>3609.64</v>
      </c>
      <c r="J178">
        <v>541.45000000000005</v>
      </c>
      <c r="L178" t="s">
        <v>47</v>
      </c>
    </row>
    <row r="179" spans="1:12" x14ac:dyDescent="0.25">
      <c r="A179">
        <v>1791321596001</v>
      </c>
      <c r="B179" t="s">
        <v>31</v>
      </c>
      <c r="C179" t="s">
        <v>32</v>
      </c>
      <c r="D179" t="s">
        <v>272</v>
      </c>
      <c r="E179">
        <v>2.80420260417913E+48</v>
      </c>
      <c r="F179" s="5">
        <v>46140.468321759261</v>
      </c>
      <c r="G179" s="6">
        <v>46140</v>
      </c>
      <c r="H179">
        <v>190401685001</v>
      </c>
      <c r="I179">
        <v>11183.11</v>
      </c>
      <c r="J179">
        <v>1677.47</v>
      </c>
      <c r="L179" t="s">
        <v>47</v>
      </c>
    </row>
    <row r="180" spans="1:12" x14ac:dyDescent="0.25">
      <c r="A180">
        <v>1791321596001</v>
      </c>
      <c r="B180" t="s">
        <v>31</v>
      </c>
      <c r="C180" t="s">
        <v>32</v>
      </c>
      <c r="D180" t="s">
        <v>273</v>
      </c>
      <c r="E180">
        <v>2.80420260417913E+48</v>
      </c>
      <c r="F180" s="5">
        <v>46140.693541666667</v>
      </c>
      <c r="G180" s="6">
        <v>46140</v>
      </c>
      <c r="H180">
        <v>190401685001</v>
      </c>
      <c r="I180">
        <v>3321.21</v>
      </c>
      <c r="J180">
        <v>498.18</v>
      </c>
      <c r="L180" t="s">
        <v>34</v>
      </c>
    </row>
    <row r="181" spans="1:12" x14ac:dyDescent="0.25">
      <c r="A181">
        <v>990501750001</v>
      </c>
      <c r="B181" t="s">
        <v>64</v>
      </c>
      <c r="C181" t="s">
        <v>32</v>
      </c>
      <c r="D181" t="s">
        <v>274</v>
      </c>
      <c r="E181">
        <v>2.8042026040990502E+48</v>
      </c>
      <c r="F181" s="5">
        <v>46140.674259259256</v>
      </c>
      <c r="G181" s="6">
        <v>46140</v>
      </c>
      <c r="H181">
        <v>190401685001</v>
      </c>
      <c r="I181">
        <v>6.17</v>
      </c>
      <c r="J181">
        <v>0.93</v>
      </c>
      <c r="L181" t="s">
        <v>237</v>
      </c>
    </row>
    <row r="182" spans="1:12" x14ac:dyDescent="0.25">
      <c r="A182">
        <v>990501750001</v>
      </c>
      <c r="B182" t="s">
        <v>64</v>
      </c>
      <c r="C182" t="s">
        <v>32</v>
      </c>
      <c r="D182" t="s">
        <v>275</v>
      </c>
      <c r="E182">
        <v>2.8042026040990502E+48</v>
      </c>
      <c r="F182" s="5">
        <v>46140.674270833333</v>
      </c>
      <c r="G182" s="6">
        <v>46140</v>
      </c>
      <c r="H182">
        <v>190401685001</v>
      </c>
      <c r="I182">
        <v>12.87</v>
      </c>
      <c r="J182">
        <v>0</v>
      </c>
      <c r="L182" t="s">
        <v>276</v>
      </c>
    </row>
    <row r="183" spans="1:12" x14ac:dyDescent="0.25">
      <c r="A183">
        <v>990501750001</v>
      </c>
      <c r="B183" t="s">
        <v>64</v>
      </c>
      <c r="C183" t="s">
        <v>32</v>
      </c>
      <c r="D183" t="s">
        <v>277</v>
      </c>
      <c r="E183">
        <v>2.8042026040990502E+48</v>
      </c>
      <c r="F183" s="5">
        <v>46140.672638888886</v>
      </c>
      <c r="G183" s="6">
        <v>46140</v>
      </c>
      <c r="H183">
        <v>190401685001</v>
      </c>
      <c r="I183">
        <v>13.95</v>
      </c>
      <c r="J183">
        <v>2.09</v>
      </c>
      <c r="L183" t="s">
        <v>245</v>
      </c>
    </row>
    <row r="184" spans="1:12" x14ac:dyDescent="0.25">
      <c r="A184">
        <v>1791321596001</v>
      </c>
      <c r="B184" t="s">
        <v>31</v>
      </c>
      <c r="C184" t="s">
        <v>32</v>
      </c>
      <c r="D184" t="s">
        <v>278</v>
      </c>
      <c r="E184">
        <v>2.80420260417913E+48</v>
      </c>
      <c r="F184" s="5">
        <v>46140.697847222225</v>
      </c>
      <c r="G184" s="6">
        <v>46140</v>
      </c>
      <c r="H184">
        <v>190401685001</v>
      </c>
      <c r="I184">
        <v>2988.2</v>
      </c>
      <c r="J184">
        <v>448.23</v>
      </c>
      <c r="L184" t="s">
        <v>34</v>
      </c>
    </row>
    <row r="185" spans="1:12" x14ac:dyDescent="0.25">
      <c r="A185">
        <v>990335028001</v>
      </c>
      <c r="B185" t="s">
        <v>41</v>
      </c>
      <c r="C185" t="s">
        <v>32</v>
      </c>
      <c r="D185" t="s">
        <v>279</v>
      </c>
      <c r="E185">
        <v>2.80420260409903E+48</v>
      </c>
      <c r="F185" s="5">
        <v>46140.665081018517</v>
      </c>
      <c r="G185" s="6">
        <v>46140</v>
      </c>
      <c r="H185">
        <v>190401685001</v>
      </c>
      <c r="I185">
        <v>1122.51</v>
      </c>
      <c r="J185">
        <v>168.38</v>
      </c>
      <c r="L185" t="s">
        <v>267</v>
      </c>
    </row>
    <row r="186" spans="1:12" x14ac:dyDescent="0.25">
      <c r="A186">
        <v>1791321596001</v>
      </c>
      <c r="B186" t="s">
        <v>31</v>
      </c>
      <c r="C186" t="s">
        <v>32</v>
      </c>
      <c r="D186" t="s">
        <v>280</v>
      </c>
      <c r="E186">
        <v>2.80420260417913E+48</v>
      </c>
      <c r="F186" s="5">
        <v>46140.471944444442</v>
      </c>
      <c r="G186" s="6">
        <v>46140</v>
      </c>
      <c r="H186">
        <v>190401685001</v>
      </c>
      <c r="I186">
        <v>18764.59</v>
      </c>
      <c r="J186">
        <v>2814.69</v>
      </c>
      <c r="L186" t="s">
        <v>34</v>
      </c>
    </row>
    <row r="187" spans="1:12" x14ac:dyDescent="0.25">
      <c r="A187">
        <v>1791321596001</v>
      </c>
      <c r="B187" t="s">
        <v>31</v>
      </c>
      <c r="C187" t="s">
        <v>32</v>
      </c>
      <c r="D187" t="s">
        <v>281</v>
      </c>
      <c r="E187">
        <v>2.80420260417913E+48</v>
      </c>
      <c r="F187" s="5">
        <v>46140.691886574074</v>
      </c>
      <c r="G187" s="6">
        <v>46140</v>
      </c>
      <c r="H187">
        <v>190401685001</v>
      </c>
      <c r="I187">
        <v>1290</v>
      </c>
      <c r="J187">
        <v>193.5</v>
      </c>
      <c r="L187" t="s">
        <v>34</v>
      </c>
    </row>
    <row r="188" spans="1:12" x14ac:dyDescent="0.25">
      <c r="A188">
        <v>1791321596001</v>
      </c>
      <c r="B188" t="s">
        <v>31</v>
      </c>
      <c r="C188" t="s">
        <v>32</v>
      </c>
      <c r="D188" t="s">
        <v>282</v>
      </c>
      <c r="E188">
        <v>2.80420260417913E+48</v>
      </c>
      <c r="F188" s="5">
        <v>46140.69189814815</v>
      </c>
      <c r="G188" s="6">
        <v>46140</v>
      </c>
      <c r="H188">
        <v>190401685001</v>
      </c>
      <c r="I188">
        <v>470</v>
      </c>
      <c r="J188">
        <v>70.5</v>
      </c>
      <c r="L188" t="s">
        <v>47</v>
      </c>
    </row>
    <row r="189" spans="1:12" x14ac:dyDescent="0.25">
      <c r="A189">
        <v>990501750001</v>
      </c>
      <c r="B189" t="s">
        <v>64</v>
      </c>
      <c r="C189" t="s">
        <v>32</v>
      </c>
      <c r="D189" t="s">
        <v>283</v>
      </c>
      <c r="E189">
        <v>2.8042026040990502E+48</v>
      </c>
      <c r="F189" s="5">
        <v>46140.672638888886</v>
      </c>
      <c r="G189" s="6">
        <v>46140</v>
      </c>
      <c r="H189">
        <v>190401685001</v>
      </c>
      <c r="I189">
        <v>82</v>
      </c>
      <c r="J189">
        <v>12.3</v>
      </c>
      <c r="L189" t="s">
        <v>245</v>
      </c>
    </row>
    <row r="190" spans="1:12" x14ac:dyDescent="0.25">
      <c r="A190">
        <v>990501750001</v>
      </c>
      <c r="B190" t="s">
        <v>64</v>
      </c>
      <c r="C190" t="s">
        <v>32</v>
      </c>
      <c r="D190" t="s">
        <v>284</v>
      </c>
      <c r="E190">
        <v>2.8042026040990502E+48</v>
      </c>
      <c r="F190" s="5">
        <v>46140.673715277779</v>
      </c>
      <c r="G190" s="6">
        <v>46140</v>
      </c>
      <c r="H190">
        <v>190401685001</v>
      </c>
      <c r="I190">
        <v>15.78</v>
      </c>
      <c r="J190">
        <v>2.37</v>
      </c>
      <c r="L190" t="s">
        <v>265</v>
      </c>
    </row>
    <row r="191" spans="1:12" x14ac:dyDescent="0.25">
      <c r="A191">
        <v>990007020001</v>
      </c>
      <c r="B191" t="s">
        <v>57</v>
      </c>
      <c r="C191" t="s">
        <v>32</v>
      </c>
      <c r="D191" t="s">
        <v>285</v>
      </c>
      <c r="E191">
        <v>2.9042026040989999E+48</v>
      </c>
      <c r="F191" s="5">
        <v>46141.690798611111</v>
      </c>
      <c r="G191" s="6">
        <v>46141</v>
      </c>
      <c r="H191">
        <v>190401685001</v>
      </c>
      <c r="I191">
        <v>197.49</v>
      </c>
      <c r="J191">
        <v>0</v>
      </c>
      <c r="L191" t="s">
        <v>286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POR LINEA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2026-09-22T23:51:09Z</dcterms:created>
  <dcterms:modified xsi:type="dcterms:W3CDTF">2026-09-24T15:11:03Z</dcterms:modified>
</cp:coreProperties>
</file>
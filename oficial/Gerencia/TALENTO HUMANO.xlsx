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CLAUDE/APP OPAUSTRO/Gerencia/"/>
    </mc:Choice>
  </mc:AlternateContent>
  <xr:revisionPtr revIDLastSave="106" documentId="8_{13C18F3D-9789-42FE-A96C-D3EBD5B9B8D9}" xr6:coauthVersionLast="47" xr6:coauthVersionMax="47" xr10:uidLastSave="{F3B6B811-E96B-4E90-86D4-6CDBDC29D19A}"/>
  <bookViews>
    <workbookView xWindow="-120" yWindow="-120" windowWidth="21840" windowHeight="13020" tabRatio="500" xr2:uid="{00000000-000D-0000-FFFF-FFFF00000000}"/>
  </bookViews>
  <sheets>
    <sheet name="TALENTO ACTUAL" sheetId="1" r:id="rId1"/>
    <sheet name="TALENTO MENSUAL" sheetId="2" r:id="rId2"/>
    <sheet name="MEM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" l="1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7" i="1"/>
  <c r="G7" i="1"/>
  <c r="F7" i="1"/>
  <c r="E7" i="1"/>
  <c r="D7" i="1"/>
  <c r="C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7" i="1" l="1"/>
  <c r="I7" i="1"/>
  <c r="J7" i="1"/>
  <c r="H7" i="1"/>
</calcChain>
</file>

<file path=xl/sharedStrings.xml><?xml version="1.0" encoding="utf-8"?>
<sst xmlns="http://schemas.openxmlformats.org/spreadsheetml/2006/main" count="207" uniqueCount="78">
  <si>
    <t>TALENTO HUMANO - SITUACION ACTUAL POR DEPARTAMENTO</t>
  </si>
  <si>
    <t>DEPARTAMENTO</t>
  </si>
  <si>
    <t>FECHA CORTE</t>
  </si>
  <si>
    <t>PLANTA OBJETIVO</t>
  </si>
  <si>
    <t>PLANTA REAL</t>
  </si>
  <si>
    <t>PASANTES</t>
  </si>
  <si>
    <t>DISCAPA- CITADOS</t>
  </si>
  <si>
    <t>SUSTITUTOS</t>
  </si>
  <si>
    <t>VACANTES</t>
  </si>
  <si>
    <t>% COBERTURA</t>
  </si>
  <si>
    <t>% DISC+SUST REAL</t>
  </si>
  <si>
    <t>% OBLIG LEGAL</t>
  </si>
  <si>
    <t>TOTAL DISC (disc+sust)</t>
  </si>
  <si>
    <t>AZUL = ingreso manual  |  OSCURO = calculo automatico  |  Obligacion legal: (Discapacitados + Sustitutos) &gt;= 4% planta real</t>
  </si>
  <si>
    <t>VENTAS</t>
  </si>
  <si>
    <t>ADMINISTRACION</t>
  </si>
  <si>
    <t>LOGISTICA</t>
  </si>
  <si>
    <t>TOTAL EMPRESA</t>
  </si>
  <si>
    <t>TALENTO HUMANO - HISTORICO MENSUAL POR DEPARTAMENTO</t>
  </si>
  <si>
    <t>ANO</t>
  </si>
  <si>
    <t>MES</t>
  </si>
  <si>
    <t>INGRESOS (MES)</t>
  </si>
  <si>
    <t>SALIDAS (MES)</t>
  </si>
  <si>
    <t>MEMOS EMIT.</t>
  </si>
  <si>
    <t>LLAMADOS ATENCION</t>
  </si>
  <si>
    <t>ROTACION %</t>
  </si>
  <si>
    <t>INDICE INGRESOS %</t>
  </si>
  <si>
    <t>INDICE SALIDAS %</t>
  </si>
  <si>
    <t>ROTACION % = (Ingresos + Salidas) / Planta Real  |  INDICE INGRESOS = Ingresos / Planta Real  |  INDICE SALIDAS = Salidas / Planta Real  |  AZUL = manual  |  OSCURO = automatico</t>
  </si>
  <si>
    <t>ENERO</t>
  </si>
  <si>
    <t>FEBRERO</t>
  </si>
  <si>
    <t>MARZO</t>
  </si>
  <si>
    <t>ABRIL</t>
  </si>
  <si>
    <t>MAYO</t>
  </si>
  <si>
    <t>REGISTRO DE MEMORANDOS Y SANCIONES - OPAUSTRO CIA. LTDA.</t>
  </si>
  <si>
    <t>NOMBRE EMPLEADO</t>
  </si>
  <si>
    <t>CARGO</t>
  </si>
  <si>
    <t>TIPO DOCUMENTO</t>
  </si>
  <si>
    <t>MOTIVO</t>
  </si>
  <si>
    <t>FECHA EMISION</t>
  </si>
  <si>
    <t>GRAVEDAD</t>
  </si>
  <si>
    <t>OBSERVACIONES</t>
  </si>
  <si>
    <t>TIPO: Memorando | Llamado de Atencion | Amonestacion Escrita | Acta de Descargo | Visto Bueno   |   GRAVEDAD: Leve | Moderada | Grave</t>
  </si>
  <si>
    <t>Choco Caisaguano Carlos Alberto</t>
  </si>
  <si>
    <t>Vendedor</t>
  </si>
  <si>
    <t>Amonestacion Escrita</t>
  </si>
  <si>
    <t>Moderada</t>
  </si>
  <si>
    <t>Castañeda Lara Danny Israel</t>
  </si>
  <si>
    <t>Tixi Berrones Carlos Alberto</t>
  </si>
  <si>
    <t>Memorando</t>
  </si>
  <si>
    <t>Grave</t>
  </si>
  <si>
    <t>Martinez Martinez Israel Fernando</t>
  </si>
  <si>
    <t>Jaque de la Cruz Edison Santiago</t>
  </si>
  <si>
    <t>Supervisor</t>
  </si>
  <si>
    <t>05/05/2026</t>
  </si>
  <si>
    <t>Alarcon Moreano Henry Gabriel</t>
  </si>
  <si>
    <t>Sosa Esmeralda Andy Joel</t>
  </si>
  <si>
    <t>Bodeguero</t>
  </si>
  <si>
    <t>Balla Avalos Wilmer Fabian</t>
  </si>
  <si>
    <t>Coordinador de bodega</t>
  </si>
  <si>
    <t>Incumplimiento de procesos</t>
  </si>
  <si>
    <t>JUNIO</t>
  </si>
  <si>
    <t>Devolucion registrada sin seguimiento al proceso de venta</t>
  </si>
  <si>
    <t>no asistencia al punto de encuentro programado</t>
  </si>
  <si>
    <t>Inasistencia injustificada-sabado 7</t>
  </si>
  <si>
    <t>Salida fuera de ruta asignada</t>
  </si>
  <si>
    <t>Impuntualidad en el punto de encuentro</t>
  </si>
  <si>
    <t>Cruce de facturas detectado</t>
  </si>
  <si>
    <t>Conducto inadecuada (Agresion)</t>
  </si>
  <si>
    <t>JULIO</t>
  </si>
  <si>
    <t>Rivera Ramos Jose</t>
  </si>
  <si>
    <t>Feijoo Bayas Daniel Antonio</t>
  </si>
  <si>
    <t>Soto Altamirano Jonathan</t>
  </si>
  <si>
    <t>Contento Lagua Roberto</t>
  </si>
  <si>
    <t>No asiste ala reunion vespertina</t>
  </si>
  <si>
    <t>Se evidenció permanencia en su domicilio durante horas laborables y falta de visita a clientes.</t>
  </si>
  <si>
    <t>Adulteracion de recibo de cobro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</si>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</sst>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7A8A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0A500"/>
      <name val="Arial"/>
      <family val="2"/>
    </font>
    <font>
      <b/>
      <sz val="10"/>
      <color rgb="FFE0525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1A7A8A"/>
        <bgColor rgb="FF008080"/>
      </patternFill>
    </fill>
    <fill>
      <patternFill patternType="solid">
        <fgColor rgb="FFE3F5F8"/>
        <bgColor rgb="FFF0FAFB"/>
      </patternFill>
    </fill>
    <fill>
      <patternFill patternType="solid">
        <fgColor rgb="FFF0FAFB"/>
        <bgColor rgb="FFE3F5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0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CCCCCC"/>
      <rgbColor rgb="FF808080"/>
      <rgbColor rgb="FF9999FF"/>
      <rgbColor rgb="FF993366"/>
      <rgbColor rgb="FFF0FAFB"/>
      <rgbColor rgb="FFE3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500"/>
      <rgbColor rgb="FFE05252"/>
      <rgbColor rgb="FF666699"/>
      <rgbColor rgb="FF969696"/>
      <rgbColor rgb="FF0B3C49"/>
      <rgbColor rgb="FF1DB87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tabSelected="1" zoomScaleNormal="100" workbookViewId="0">
      <selection activeCell="E6" sqref="E6"/>
    </sheetView>
  </sheetViews>
  <sheetFormatPr baseColWidth="10" defaultColWidth="8.7109375" defaultRowHeight="15" x14ac:dyDescent="0.25"/>
  <cols>
    <col min="1" max="1" width="18" customWidth="1"/>
    <col min="2" max="3" width="14" customWidth="1"/>
    <col min="4" max="4" width="12" customWidth="1"/>
    <col min="5" max="5" width="10" customWidth="1"/>
    <col min="6" max="7" width="12" customWidth="1"/>
    <col min="8" max="8" width="10" customWidth="1"/>
    <col min="9" max="9" width="13" customWidth="1"/>
    <col min="10" max="10" width="14" customWidth="1"/>
    <col min="11" max="11" width="12" customWidth="1"/>
    <col min="12" max="12" width="14" customWidth="1"/>
  </cols>
  <sheetData>
    <row r="1" spans="1:12" ht="27.7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43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8" customHeight="1" x14ac:dyDescent="0.25">
      <c r="A3" s="17" t="s">
        <v>13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9.5" customHeight="1" x14ac:dyDescent="0.25">
      <c r="A4" s="3" t="s">
        <v>14</v>
      </c>
      <c r="B4" s="16">
        <v>46295</v>
      </c>
      <c r="C4" s="4">
        <v>79</v>
      </c>
      <c r="D4" s="4">
        <v>77</v>
      </c>
      <c r="E4" s="4">
        <v>0</v>
      </c>
      <c r="F4" s="4">
        <v>2</v>
      </c>
      <c r="G4" s="4">
        <v>0</v>
      </c>
      <c r="H4" s="5">
        <f>C4-D4</f>
        <v>2</v>
      </c>
      <c r="I4" s="6">
        <f>IF(C4=0,0,D4/C4)</f>
        <v>0.97468354430379744</v>
      </c>
      <c r="J4" s="6">
        <f>IF(D4=0,0,(F4+G4)/D4)</f>
        <v>2.5974025974025976E-2</v>
      </c>
      <c r="K4" s="6">
        <f>4%</f>
        <v>0.04</v>
      </c>
      <c r="L4" s="5">
        <f>F4+G4</f>
        <v>2</v>
      </c>
    </row>
    <row r="5" spans="1:12" ht="19.5" customHeight="1" x14ac:dyDescent="0.25">
      <c r="A5" s="3" t="s">
        <v>15</v>
      </c>
      <c r="B5" s="16">
        <v>46295</v>
      </c>
      <c r="C5" s="4">
        <v>22</v>
      </c>
      <c r="D5" s="4">
        <v>22</v>
      </c>
      <c r="E5" s="4">
        <v>0</v>
      </c>
      <c r="F5" s="4">
        <v>0</v>
      </c>
      <c r="G5" s="4">
        <v>1</v>
      </c>
      <c r="H5" s="5">
        <f>C5-D5</f>
        <v>0</v>
      </c>
      <c r="I5" s="6">
        <f>IF(C5=0,0,D5/C5)</f>
        <v>1</v>
      </c>
      <c r="J5" s="6">
        <f>IF(D5=0,0,(F5+G5)/D5)</f>
        <v>4.5454545454545456E-2</v>
      </c>
      <c r="K5" s="6">
        <f>4%</f>
        <v>0.04</v>
      </c>
      <c r="L5" s="5">
        <f>F5+G5</f>
        <v>1</v>
      </c>
    </row>
    <row r="6" spans="1:12" ht="19.5" customHeight="1" x14ac:dyDescent="0.25">
      <c r="A6" s="3" t="s">
        <v>16</v>
      </c>
      <c r="B6" s="16">
        <v>46295</v>
      </c>
      <c r="C6" s="4">
        <v>30</v>
      </c>
      <c r="D6" s="4">
        <v>30</v>
      </c>
      <c r="E6" s="4">
        <v>2</v>
      </c>
      <c r="F6" s="4">
        <v>0</v>
      </c>
      <c r="G6" s="4">
        <v>0</v>
      </c>
      <c r="H6" s="5">
        <f>C6-D6</f>
        <v>0</v>
      </c>
      <c r="I6" s="6">
        <f>IF(C6=0,0,D6/C6)</f>
        <v>1</v>
      </c>
      <c r="J6" s="6">
        <f>IF(D6=0,0,(F6+G6)/D6)</f>
        <v>0</v>
      </c>
      <c r="K6" s="6">
        <f>4%</f>
        <v>0.04</v>
      </c>
      <c r="L6" s="5">
        <f>F6+G6</f>
        <v>0</v>
      </c>
    </row>
    <row r="7" spans="1:12" ht="19.5" customHeight="1" x14ac:dyDescent="0.25">
      <c r="A7" s="7" t="s">
        <v>17</v>
      </c>
      <c r="B7" s="8"/>
      <c r="C7" s="9">
        <f t="shared" ref="C7:H7" si="0">SUM(C4:C6)</f>
        <v>131</v>
      </c>
      <c r="D7" s="9">
        <f t="shared" si="0"/>
        <v>129</v>
      </c>
      <c r="E7" s="9">
        <f t="shared" si="0"/>
        <v>2</v>
      </c>
      <c r="F7" s="9">
        <f t="shared" si="0"/>
        <v>2</v>
      </c>
      <c r="G7" s="9">
        <f t="shared" si="0"/>
        <v>1</v>
      </c>
      <c r="H7" s="9">
        <f t="shared" si="0"/>
        <v>2</v>
      </c>
      <c r="I7" s="10">
        <f>IF(C7=0,0,D7/C7)</f>
        <v>0.98473282442748089</v>
      </c>
      <c r="J7" s="10">
        <f>IF(D7=0,0,(F7+G7)/D7)</f>
        <v>2.3255813953488372E-2</v>
      </c>
      <c r="K7" s="10">
        <f>4%</f>
        <v>0.04</v>
      </c>
      <c r="L7" s="9">
        <f>SUM(L4:L6)</f>
        <v>3</v>
      </c>
    </row>
  </sheetData>
  <mergeCells count="2">
    <mergeCell ref="A3:L3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showGridLines="0" topLeftCell="A19" zoomScaleNormal="100" workbookViewId="0">
      <selection activeCell="F28" sqref="F28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8" customWidth="1"/>
    <col min="4" max="7" width="12" customWidth="1"/>
    <col min="8" max="8" width="14" customWidth="1"/>
    <col min="9" max="9" width="13" customWidth="1"/>
    <col min="10" max="10" width="14" customWidth="1"/>
    <col min="11" max="11" width="13" customWidth="1"/>
  </cols>
  <sheetData>
    <row r="1" spans="1:11" ht="27.75" customHeight="1" x14ac:dyDescent="0.25">
      <c r="A1" s="20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43.5" customHeight="1" x14ac:dyDescent="0.25">
      <c r="A2" s="1" t="s">
        <v>19</v>
      </c>
      <c r="B2" s="1" t="s">
        <v>20</v>
      </c>
      <c r="C2" s="1" t="s">
        <v>1</v>
      </c>
      <c r="D2" s="1" t="s">
        <v>4</v>
      </c>
      <c r="E2" s="1" t="s">
        <v>21</v>
      </c>
      <c r="F2" s="1" t="s">
        <v>22</v>
      </c>
      <c r="G2" s="1" t="s">
        <v>23</v>
      </c>
      <c r="H2" s="1" t="s">
        <v>24</v>
      </c>
      <c r="I2" s="2" t="s">
        <v>25</v>
      </c>
      <c r="J2" s="2" t="s">
        <v>26</v>
      </c>
      <c r="K2" s="2" t="s">
        <v>27</v>
      </c>
    </row>
    <row r="3" spans="1:11" ht="18" customHeight="1" x14ac:dyDescent="0.25">
      <c r="A3" s="17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8" customHeight="1" x14ac:dyDescent="0.25">
      <c r="A4" s="11">
        <v>2026</v>
      </c>
      <c r="B4" s="11" t="s">
        <v>29</v>
      </c>
      <c r="C4" s="12" t="s">
        <v>14</v>
      </c>
      <c r="D4" s="11">
        <v>79</v>
      </c>
      <c r="E4" s="11">
        <v>6</v>
      </c>
      <c r="F4" s="11">
        <v>5</v>
      </c>
      <c r="G4" s="11">
        <v>0</v>
      </c>
      <c r="H4" s="11">
        <v>0</v>
      </c>
      <c r="I4" s="13">
        <f t="shared" ref="I4:I18" si="0">IF(D4=0,0,(E4+F4)/D4)</f>
        <v>0.13924050632911392</v>
      </c>
      <c r="J4" s="13">
        <f t="shared" ref="J4:J18" si="1">IF(D4=0,0,E4/D4)</f>
        <v>7.5949367088607597E-2</v>
      </c>
      <c r="K4" s="13">
        <f t="shared" ref="K4:K18" si="2">IF(D4=0,0,F4/D4)</f>
        <v>6.3291139240506333E-2</v>
      </c>
    </row>
    <row r="5" spans="1:11" ht="18" customHeight="1" x14ac:dyDescent="0.25">
      <c r="A5" s="11">
        <v>2026</v>
      </c>
      <c r="B5" s="11" t="s">
        <v>29</v>
      </c>
      <c r="C5" s="12" t="s">
        <v>15</v>
      </c>
      <c r="D5" s="11">
        <v>22</v>
      </c>
      <c r="E5" s="11">
        <v>1</v>
      </c>
      <c r="F5" s="11">
        <v>1</v>
      </c>
      <c r="G5" s="11">
        <v>0</v>
      </c>
      <c r="H5" s="11">
        <v>0</v>
      </c>
      <c r="I5" s="13">
        <f t="shared" si="0"/>
        <v>9.0909090909090912E-2</v>
      </c>
      <c r="J5" s="13">
        <f t="shared" si="1"/>
        <v>4.5454545454545456E-2</v>
      </c>
      <c r="K5" s="13">
        <f t="shared" si="2"/>
        <v>4.5454545454545456E-2</v>
      </c>
    </row>
    <row r="6" spans="1:11" ht="18" customHeight="1" x14ac:dyDescent="0.25">
      <c r="A6" s="11">
        <v>2026</v>
      </c>
      <c r="B6" s="11" t="s">
        <v>29</v>
      </c>
      <c r="C6" s="12" t="s">
        <v>16</v>
      </c>
      <c r="D6" s="11">
        <v>29</v>
      </c>
      <c r="E6" s="11">
        <v>0</v>
      </c>
      <c r="F6" s="11">
        <v>0</v>
      </c>
      <c r="G6" s="11">
        <v>0</v>
      </c>
      <c r="H6" s="11">
        <v>0</v>
      </c>
      <c r="I6" s="13">
        <f t="shared" si="0"/>
        <v>0</v>
      </c>
      <c r="J6" s="13">
        <f t="shared" si="1"/>
        <v>0</v>
      </c>
      <c r="K6" s="13">
        <f t="shared" si="2"/>
        <v>0</v>
      </c>
    </row>
    <row r="7" spans="1:11" ht="18" customHeight="1" x14ac:dyDescent="0.25">
      <c r="A7" s="4">
        <v>2026</v>
      </c>
      <c r="B7" s="4" t="s">
        <v>30</v>
      </c>
      <c r="C7" s="3" t="s">
        <v>14</v>
      </c>
      <c r="D7" s="4">
        <v>79</v>
      </c>
      <c r="E7" s="4">
        <v>5</v>
      </c>
      <c r="F7" s="4">
        <v>6</v>
      </c>
      <c r="G7" s="11">
        <v>1</v>
      </c>
      <c r="H7" s="11">
        <v>2</v>
      </c>
      <c r="I7" s="13">
        <f t="shared" si="0"/>
        <v>0.13924050632911392</v>
      </c>
      <c r="J7" s="13">
        <f t="shared" si="1"/>
        <v>6.3291139240506333E-2</v>
      </c>
      <c r="K7" s="13">
        <f t="shared" si="2"/>
        <v>7.5949367088607597E-2</v>
      </c>
    </row>
    <row r="8" spans="1:11" ht="18" customHeight="1" x14ac:dyDescent="0.25">
      <c r="A8" s="4">
        <v>2026</v>
      </c>
      <c r="B8" s="4" t="s">
        <v>30</v>
      </c>
      <c r="C8" s="3" t="s">
        <v>15</v>
      </c>
      <c r="D8" s="4">
        <v>22</v>
      </c>
      <c r="E8" s="4">
        <v>1</v>
      </c>
      <c r="F8" s="4">
        <v>1</v>
      </c>
      <c r="G8" s="11">
        <v>0</v>
      </c>
      <c r="H8" s="11">
        <v>0</v>
      </c>
      <c r="I8" s="13">
        <f t="shared" si="0"/>
        <v>9.0909090909090912E-2</v>
      </c>
      <c r="J8" s="13">
        <f t="shared" si="1"/>
        <v>4.5454545454545456E-2</v>
      </c>
      <c r="K8" s="13">
        <f t="shared" si="2"/>
        <v>4.5454545454545456E-2</v>
      </c>
    </row>
    <row r="9" spans="1:11" ht="18" customHeight="1" x14ac:dyDescent="0.25">
      <c r="A9" s="4">
        <v>2026</v>
      </c>
      <c r="B9" s="4" t="s">
        <v>30</v>
      </c>
      <c r="C9" s="3" t="s">
        <v>16</v>
      </c>
      <c r="D9" s="4">
        <v>29</v>
      </c>
      <c r="E9" s="4">
        <v>2</v>
      </c>
      <c r="F9" s="4">
        <v>0</v>
      </c>
      <c r="G9" s="11">
        <v>0</v>
      </c>
      <c r="H9" s="11">
        <v>0</v>
      </c>
      <c r="I9" s="13">
        <f t="shared" si="0"/>
        <v>6.8965517241379309E-2</v>
      </c>
      <c r="J9" s="13">
        <f t="shared" si="1"/>
        <v>6.8965517241379309E-2</v>
      </c>
      <c r="K9" s="13">
        <f t="shared" si="2"/>
        <v>0</v>
      </c>
    </row>
    <row r="10" spans="1:11" ht="18" customHeight="1" x14ac:dyDescent="0.25">
      <c r="A10" s="11">
        <v>2026</v>
      </c>
      <c r="B10" s="11" t="s">
        <v>31</v>
      </c>
      <c r="C10" s="12" t="s">
        <v>14</v>
      </c>
      <c r="D10" s="11">
        <v>79</v>
      </c>
      <c r="E10" s="11">
        <v>6</v>
      </c>
      <c r="F10" s="11">
        <v>4</v>
      </c>
      <c r="G10" s="11">
        <v>0</v>
      </c>
      <c r="H10" s="11">
        <v>0</v>
      </c>
      <c r="I10" s="13">
        <f t="shared" si="0"/>
        <v>0.12658227848101267</v>
      </c>
      <c r="J10" s="13">
        <f t="shared" si="1"/>
        <v>7.5949367088607597E-2</v>
      </c>
      <c r="K10" s="13">
        <f t="shared" si="2"/>
        <v>5.0632911392405063E-2</v>
      </c>
    </row>
    <row r="11" spans="1:11" ht="18" customHeight="1" x14ac:dyDescent="0.25">
      <c r="A11" s="11">
        <v>2026</v>
      </c>
      <c r="B11" s="11" t="s">
        <v>31</v>
      </c>
      <c r="C11" s="12" t="s">
        <v>15</v>
      </c>
      <c r="D11" s="11">
        <v>22</v>
      </c>
      <c r="E11" s="11">
        <v>1</v>
      </c>
      <c r="F11" s="11">
        <v>0</v>
      </c>
      <c r="G11" s="11">
        <v>0</v>
      </c>
      <c r="H11" s="11">
        <v>0</v>
      </c>
      <c r="I11" s="13">
        <f t="shared" si="0"/>
        <v>4.5454545454545456E-2</v>
      </c>
      <c r="J11" s="13">
        <f t="shared" si="1"/>
        <v>4.5454545454545456E-2</v>
      </c>
      <c r="K11" s="13">
        <f t="shared" si="2"/>
        <v>0</v>
      </c>
    </row>
    <row r="12" spans="1:11" ht="18" customHeight="1" x14ac:dyDescent="0.25">
      <c r="A12" s="11">
        <v>2026</v>
      </c>
      <c r="B12" s="11" t="s">
        <v>31</v>
      </c>
      <c r="C12" s="12" t="s">
        <v>16</v>
      </c>
      <c r="D12" s="11">
        <v>29</v>
      </c>
      <c r="E12" s="11">
        <v>1</v>
      </c>
      <c r="F12" s="11">
        <v>0</v>
      </c>
      <c r="G12" s="11">
        <v>0</v>
      </c>
      <c r="H12" s="11">
        <v>0</v>
      </c>
      <c r="I12" s="13">
        <f t="shared" si="0"/>
        <v>3.4482758620689655E-2</v>
      </c>
      <c r="J12" s="13">
        <f t="shared" si="1"/>
        <v>3.4482758620689655E-2</v>
      </c>
      <c r="K12" s="13">
        <f t="shared" si="2"/>
        <v>0</v>
      </c>
    </row>
    <row r="13" spans="1:11" ht="18" customHeight="1" x14ac:dyDescent="0.25">
      <c r="A13" s="4">
        <v>2026</v>
      </c>
      <c r="B13" s="4" t="s">
        <v>32</v>
      </c>
      <c r="C13" s="3" t="s">
        <v>14</v>
      </c>
      <c r="D13" s="4">
        <v>79</v>
      </c>
      <c r="E13" s="4">
        <v>4</v>
      </c>
      <c r="F13" s="4">
        <v>6</v>
      </c>
      <c r="G13" s="11">
        <v>0</v>
      </c>
      <c r="H13" s="11">
        <v>1</v>
      </c>
      <c r="I13" s="13">
        <f t="shared" si="0"/>
        <v>0.12658227848101267</v>
      </c>
      <c r="J13" s="13">
        <f t="shared" si="1"/>
        <v>5.0632911392405063E-2</v>
      </c>
      <c r="K13" s="13">
        <f t="shared" si="2"/>
        <v>7.5949367088607597E-2</v>
      </c>
    </row>
    <row r="14" spans="1:11" ht="18" customHeight="1" x14ac:dyDescent="0.25">
      <c r="A14" s="4">
        <v>2026</v>
      </c>
      <c r="B14" s="4" t="s">
        <v>32</v>
      </c>
      <c r="C14" s="3" t="s">
        <v>15</v>
      </c>
      <c r="D14" s="4">
        <v>22</v>
      </c>
      <c r="E14" s="4">
        <v>2</v>
      </c>
      <c r="F14" s="4">
        <v>0</v>
      </c>
      <c r="G14" s="11">
        <v>0</v>
      </c>
      <c r="H14" s="11">
        <v>0</v>
      </c>
      <c r="I14" s="13">
        <f t="shared" si="0"/>
        <v>9.0909090909090912E-2</v>
      </c>
      <c r="J14" s="13">
        <f t="shared" si="1"/>
        <v>9.0909090909090912E-2</v>
      </c>
      <c r="K14" s="13">
        <f t="shared" si="2"/>
        <v>0</v>
      </c>
    </row>
    <row r="15" spans="1:11" ht="18" customHeight="1" x14ac:dyDescent="0.25">
      <c r="A15" s="4">
        <v>2026</v>
      </c>
      <c r="B15" s="4" t="s">
        <v>32</v>
      </c>
      <c r="C15" s="3" t="s">
        <v>16</v>
      </c>
      <c r="D15" s="4">
        <v>29</v>
      </c>
      <c r="E15" s="4">
        <v>1</v>
      </c>
      <c r="F15" s="4">
        <v>0</v>
      </c>
      <c r="G15" s="11">
        <v>0</v>
      </c>
      <c r="H15" s="11">
        <v>0</v>
      </c>
      <c r="I15" s="13">
        <f t="shared" si="0"/>
        <v>3.4482758620689655E-2</v>
      </c>
      <c r="J15" s="13">
        <f t="shared" si="1"/>
        <v>3.4482758620689655E-2</v>
      </c>
      <c r="K15" s="13">
        <f t="shared" si="2"/>
        <v>0</v>
      </c>
    </row>
    <row r="16" spans="1:11" ht="18" customHeight="1" x14ac:dyDescent="0.25">
      <c r="A16" s="11">
        <v>2026</v>
      </c>
      <c r="B16" s="11" t="s">
        <v>33</v>
      </c>
      <c r="C16" s="12" t="s">
        <v>14</v>
      </c>
      <c r="D16" s="11">
        <v>79</v>
      </c>
      <c r="E16" s="11">
        <v>5</v>
      </c>
      <c r="F16" s="11">
        <v>4</v>
      </c>
      <c r="G16" s="11">
        <v>1</v>
      </c>
      <c r="H16" s="11">
        <v>0</v>
      </c>
      <c r="I16" s="13">
        <f t="shared" si="0"/>
        <v>0.11392405063291139</v>
      </c>
      <c r="J16" s="13">
        <f t="shared" si="1"/>
        <v>6.3291139240506333E-2</v>
      </c>
      <c r="K16" s="13">
        <f t="shared" si="2"/>
        <v>5.0632911392405063E-2</v>
      </c>
    </row>
    <row r="17" spans="1:11" ht="18" customHeight="1" x14ac:dyDescent="0.25">
      <c r="A17" s="11">
        <v>2026</v>
      </c>
      <c r="B17" s="11" t="s">
        <v>33</v>
      </c>
      <c r="C17" s="12" t="s">
        <v>15</v>
      </c>
      <c r="D17" s="11">
        <v>22</v>
      </c>
      <c r="E17" s="11">
        <v>1</v>
      </c>
      <c r="F17" s="11">
        <v>1</v>
      </c>
      <c r="G17" s="11">
        <v>0</v>
      </c>
      <c r="H17" s="11">
        <v>0</v>
      </c>
      <c r="I17" s="13">
        <f t="shared" si="0"/>
        <v>9.0909090909090912E-2</v>
      </c>
      <c r="J17" s="13">
        <f t="shared" si="1"/>
        <v>4.5454545454545456E-2</v>
      </c>
      <c r="K17" s="13">
        <f t="shared" si="2"/>
        <v>4.5454545454545456E-2</v>
      </c>
    </row>
    <row r="18" spans="1:11" ht="18" customHeight="1" x14ac:dyDescent="0.25">
      <c r="A18" s="11">
        <v>2026</v>
      </c>
      <c r="B18" s="11" t="s">
        <v>33</v>
      </c>
      <c r="C18" s="12" t="s">
        <v>16</v>
      </c>
      <c r="D18" s="11">
        <v>29</v>
      </c>
      <c r="E18" s="11">
        <v>0</v>
      </c>
      <c r="F18" s="11">
        <v>1</v>
      </c>
      <c r="G18" s="11">
        <v>3</v>
      </c>
      <c r="H18" s="11">
        <v>0</v>
      </c>
      <c r="I18" s="13">
        <f t="shared" si="0"/>
        <v>3.4482758620689655E-2</v>
      </c>
      <c r="J18" s="13">
        <f t="shared" si="1"/>
        <v>0</v>
      </c>
      <c r="K18" s="13">
        <f t="shared" si="2"/>
        <v>3.4482758620689655E-2</v>
      </c>
    </row>
    <row r="19" spans="1:11" x14ac:dyDescent="0.25">
      <c r="A19" s="11">
        <v>2026</v>
      </c>
      <c r="B19" s="11" t="s">
        <v>61</v>
      </c>
      <c r="C19" s="12" t="s">
        <v>14</v>
      </c>
      <c r="D19" s="11">
        <v>77</v>
      </c>
      <c r="E19" s="11">
        <v>2</v>
      </c>
      <c r="F19" s="11">
        <v>2</v>
      </c>
      <c r="G19" s="11">
        <v>0</v>
      </c>
      <c r="H19" s="11">
        <v>0</v>
      </c>
      <c r="I19" s="13">
        <f t="shared" ref="I19:I21" si="3">IF(D19=0,0,(E19+F19)/D19)</f>
        <v>5.1948051948051951E-2</v>
      </c>
      <c r="J19" s="13">
        <f t="shared" ref="J19:J21" si="4">IF(D19=0,0,E19/D19)</f>
        <v>2.5974025974025976E-2</v>
      </c>
      <c r="K19" s="13">
        <f t="shared" ref="K19:K21" si="5">IF(D19=0,0,F19/D19)</f>
        <v>2.5974025974025976E-2</v>
      </c>
    </row>
    <row r="20" spans="1:11" x14ac:dyDescent="0.25">
      <c r="A20" s="11">
        <v>2026</v>
      </c>
      <c r="B20" s="11" t="s">
        <v>61</v>
      </c>
      <c r="C20" s="12" t="s">
        <v>15</v>
      </c>
      <c r="D20" s="11">
        <v>22</v>
      </c>
      <c r="E20" s="11">
        <v>0</v>
      </c>
      <c r="F20" s="11">
        <v>0</v>
      </c>
      <c r="G20" s="11">
        <v>0</v>
      </c>
      <c r="H20" s="11">
        <v>0</v>
      </c>
      <c r="I20" s="13">
        <f t="shared" si="3"/>
        <v>0</v>
      </c>
      <c r="J20" s="13">
        <f t="shared" si="4"/>
        <v>0</v>
      </c>
      <c r="K20" s="13">
        <f t="shared" si="5"/>
        <v>0</v>
      </c>
    </row>
    <row r="21" spans="1:11" x14ac:dyDescent="0.25">
      <c r="A21" s="11">
        <v>2026</v>
      </c>
      <c r="B21" s="11" t="s">
        <v>61</v>
      </c>
      <c r="C21" s="12" t="s">
        <v>16</v>
      </c>
      <c r="D21" s="11">
        <v>29</v>
      </c>
      <c r="E21" s="11">
        <v>2</v>
      </c>
      <c r="F21" s="11">
        <v>2</v>
      </c>
      <c r="G21" s="11">
        <v>0</v>
      </c>
      <c r="H21" s="11">
        <v>0</v>
      </c>
      <c r="I21" s="13">
        <f t="shared" si="3"/>
        <v>0.13793103448275862</v>
      </c>
      <c r="J21" s="13">
        <f t="shared" si="4"/>
        <v>6.8965517241379309E-2</v>
      </c>
      <c r="K21" s="13">
        <f t="shared" si="5"/>
        <v>6.8965517241379309E-2</v>
      </c>
    </row>
    <row r="22" spans="1:11" x14ac:dyDescent="0.25">
      <c r="A22" s="11">
        <v>2026</v>
      </c>
      <c r="B22" s="11" t="s">
        <v>69</v>
      </c>
      <c r="C22" s="12" t="s">
        <v>14</v>
      </c>
      <c r="D22" s="11">
        <v>75</v>
      </c>
      <c r="E22" s="11">
        <v>2</v>
      </c>
      <c r="F22" s="11">
        <v>4</v>
      </c>
      <c r="G22" s="11">
        <v>3</v>
      </c>
      <c r="H22" s="11">
        <v>3</v>
      </c>
      <c r="I22" s="13">
        <f t="shared" ref="I22:I24" si="6">IF(D22=0,0,(E22+F22)/D22)</f>
        <v>0.08</v>
      </c>
      <c r="J22" s="13">
        <f t="shared" ref="J22:J24" si="7">IF(D22=0,0,E22/D22)</f>
        <v>2.6666666666666668E-2</v>
      </c>
      <c r="K22" s="13">
        <f t="shared" ref="K22:K24" si="8">IF(D22=0,0,F22/D22)</f>
        <v>5.3333333333333337E-2</v>
      </c>
    </row>
    <row r="23" spans="1:11" x14ac:dyDescent="0.25">
      <c r="A23" s="11">
        <v>2026</v>
      </c>
      <c r="B23" s="11" t="s">
        <v>69</v>
      </c>
      <c r="C23" s="12" t="s">
        <v>15</v>
      </c>
      <c r="D23" s="11">
        <v>22</v>
      </c>
      <c r="E23" s="11">
        <v>0</v>
      </c>
      <c r="F23" s="11">
        <v>0</v>
      </c>
      <c r="G23" s="11">
        <v>0</v>
      </c>
      <c r="H23" s="11">
        <v>0</v>
      </c>
      <c r="I23" s="13">
        <f t="shared" si="6"/>
        <v>0</v>
      </c>
      <c r="J23" s="13">
        <f t="shared" si="7"/>
        <v>0</v>
      </c>
      <c r="K23" s="13">
        <f t="shared" si="8"/>
        <v>0</v>
      </c>
    </row>
    <row r="24" spans="1:11" x14ac:dyDescent="0.25">
      <c r="A24" s="11">
        <v>2026</v>
      </c>
      <c r="B24" s="11" t="s">
        <v>69</v>
      </c>
      <c r="C24" s="12" t="s">
        <v>16</v>
      </c>
      <c r="D24" s="11">
        <v>29</v>
      </c>
      <c r="E24" s="11">
        <v>1</v>
      </c>
      <c r="F24" s="11">
        <v>0</v>
      </c>
      <c r="G24" s="11">
        <v>1</v>
      </c>
      <c r="H24" s="11">
        <v>0</v>
      </c>
      <c r="I24" s="13">
        <f t="shared" si="6"/>
        <v>3.4482758620689655E-2</v>
      </c>
      <c r="J24" s="13">
        <f t="shared" si="7"/>
        <v>3.4482758620689655E-2</v>
      </c>
      <c r="K24" s="13">
        <f t="shared" si="8"/>
        <v>0</v>
      </c>
    </row>
    <row r="25" spans="1:11" x14ac:dyDescent="0.25">
      <c r="A25" s="11">
        <v>2026</v>
      </c>
      <c r="B25" s="11" t="s">
        <v>77</v>
      </c>
      <c r="C25" s="12" t="s">
        <v>14</v>
      </c>
      <c r="D25" s="11">
        <v>75</v>
      </c>
      <c r="E25" s="11">
        <v>4</v>
      </c>
      <c r="F25" s="11">
        <v>5</v>
      </c>
      <c r="G25" s="11">
        <v>0</v>
      </c>
      <c r="H25" s="11">
        <v>0</v>
      </c>
      <c r="I25" s="13">
        <f t="shared" ref="I25:I27" si="9">IF(D25=0,0,(E25+F25)/D25)</f>
        <v>0.12</v>
      </c>
      <c r="J25" s="13">
        <f t="shared" ref="J25:J27" si="10">IF(D25=0,0,E25/D25)</f>
        <v>5.3333333333333337E-2</v>
      </c>
      <c r="K25" s="13">
        <f t="shared" ref="K25:K27" si="11">IF(D25=0,0,F25/D25)</f>
        <v>6.6666666666666666E-2</v>
      </c>
    </row>
    <row r="26" spans="1:11" x14ac:dyDescent="0.25">
      <c r="A26" s="11">
        <v>2026</v>
      </c>
      <c r="B26" s="11" t="s">
        <v>77</v>
      </c>
      <c r="C26" s="12" t="s">
        <v>15</v>
      </c>
      <c r="D26" s="11">
        <v>22</v>
      </c>
      <c r="E26" s="11">
        <v>0</v>
      </c>
      <c r="F26" s="11">
        <v>0</v>
      </c>
      <c r="G26" s="11">
        <v>0</v>
      </c>
      <c r="H26" s="11">
        <v>0</v>
      </c>
      <c r="I26" s="13">
        <f t="shared" si="9"/>
        <v>0</v>
      </c>
      <c r="J26" s="13">
        <f t="shared" si="10"/>
        <v>0</v>
      </c>
      <c r="K26" s="13">
        <f t="shared" si="11"/>
        <v>0</v>
      </c>
    </row>
    <row r="27" spans="1:11" x14ac:dyDescent="0.25">
      <c r="A27" s="11">
        <v>2026</v>
      </c>
      <c r="B27" s="11" t="s">
        <v>77</v>
      </c>
      <c r="C27" s="12" t="s">
        <v>16</v>
      </c>
      <c r="D27" s="11">
        <v>29</v>
      </c>
      <c r="E27" s="11">
        <v>0</v>
      </c>
      <c r="F27" s="11">
        <v>0</v>
      </c>
      <c r="G27" s="11">
        <v>0</v>
      </c>
      <c r="H27" s="11">
        <v>0</v>
      </c>
      <c r="I27" s="13">
        <f t="shared" si="9"/>
        <v>0</v>
      </c>
      <c r="J27" s="13">
        <f t="shared" si="10"/>
        <v>0</v>
      </c>
      <c r="K27" s="13">
        <f t="shared" si="11"/>
        <v>0</v>
      </c>
    </row>
    <row r="28" spans="1:11" x14ac:dyDescent="0.25">
      <c r="A28" s="11">
        <v>2026</v>
      </c>
      <c r="B28" s="11" t="s">
        <v>77</v>
      </c>
      <c r="C28" s="12" t="s">
        <v>14</v>
      </c>
      <c r="D28" s="11">
        <v>77</v>
      </c>
      <c r="E28" s="11">
        <v>4</v>
      </c>
      <c r="F28" s="11">
        <v>2</v>
      </c>
      <c r="G28" s="11">
        <v>0</v>
      </c>
      <c r="H28" s="11">
        <v>0</v>
      </c>
      <c r="I28" s="13">
        <f t="shared" ref="I28:I30" si="12">IF(D28=0,0,(E28+F28)/D28)</f>
        <v>7.792207792207792E-2</v>
      </c>
      <c r="J28" s="13">
        <f t="shared" ref="J28:J30" si="13">IF(D28=0,0,E28/D28)</f>
        <v>5.1948051948051951E-2</v>
      </c>
      <c r="K28" s="13">
        <f t="shared" ref="K28:K30" si="14">IF(D28=0,0,F28/D28)</f>
        <v>2.5974025974025976E-2</v>
      </c>
    </row>
    <row r="29" spans="1:11" x14ac:dyDescent="0.25">
      <c r="A29" s="11">
        <v>2026</v>
      </c>
      <c r="B29" s="11" t="s">
        <v>77</v>
      </c>
      <c r="C29" s="12" t="s">
        <v>15</v>
      </c>
      <c r="D29" s="11">
        <v>22</v>
      </c>
      <c r="E29" s="11">
        <v>0</v>
      </c>
      <c r="F29" s="11">
        <v>0</v>
      </c>
      <c r="G29" s="11">
        <v>0</v>
      </c>
      <c r="H29" s="11">
        <v>0</v>
      </c>
      <c r="I29" s="13">
        <f t="shared" si="12"/>
        <v>0</v>
      </c>
      <c r="J29" s="13">
        <f t="shared" si="13"/>
        <v>0</v>
      </c>
      <c r="K29" s="13">
        <f t="shared" si="14"/>
        <v>0</v>
      </c>
    </row>
    <row r="30" spans="1:11" x14ac:dyDescent="0.25">
      <c r="A30" s="11">
        <v>2026</v>
      </c>
      <c r="B30" s="11" t="s">
        <v>77</v>
      </c>
      <c r="C30" s="12" t="s">
        <v>16</v>
      </c>
      <c r="D30" s="11">
        <v>30</v>
      </c>
      <c r="E30" s="11">
        <v>1</v>
      </c>
      <c r="F30" s="11">
        <v>0</v>
      </c>
      <c r="G30" s="11">
        <v>0</v>
      </c>
      <c r="H30" s="11">
        <v>0</v>
      </c>
      <c r="I30" s="13">
        <f t="shared" si="12"/>
        <v>3.3333333333333333E-2</v>
      </c>
      <c r="J30" s="13">
        <f t="shared" si="13"/>
        <v>3.3333333333333333E-2</v>
      </c>
      <c r="K30" s="13">
        <f t="shared" si="14"/>
        <v>0</v>
      </c>
    </row>
  </sheetData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showGridLines="0" topLeftCell="A4" zoomScaleNormal="100" workbookViewId="0">
      <selection activeCell="A13" sqref="A13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6" customWidth="1"/>
    <col min="4" max="4" width="25" customWidth="1"/>
    <col min="5" max="5" width="20" customWidth="1"/>
    <col min="6" max="6" width="22" customWidth="1"/>
    <col min="7" max="7" width="45" customWidth="1"/>
    <col min="8" max="8" width="14" customWidth="1"/>
    <col min="9" max="9" width="12" customWidth="1"/>
    <col min="10" max="10" width="35" customWidth="1"/>
  </cols>
  <sheetData>
    <row r="1" spans="1:10" ht="27.75" customHeight="1" x14ac:dyDescent="0.25">
      <c r="A1" s="20" t="s">
        <v>34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43.5" customHeight="1" x14ac:dyDescent="0.25">
      <c r="A2" s="1" t="s">
        <v>19</v>
      </c>
      <c r="B2" s="1" t="s">
        <v>20</v>
      </c>
      <c r="C2" s="1" t="s">
        <v>1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</row>
    <row r="3" spans="1:10" ht="18" customHeight="1" x14ac:dyDescent="0.25">
      <c r="A3" s="17" t="s">
        <v>42</v>
      </c>
      <c r="B3" s="18"/>
      <c r="C3" s="18"/>
      <c r="D3" s="18"/>
      <c r="E3" s="18"/>
      <c r="F3" s="18"/>
      <c r="G3" s="18"/>
      <c r="H3" s="18"/>
      <c r="I3" s="18"/>
      <c r="J3" s="19"/>
    </row>
    <row r="4" spans="1:10" ht="18" customHeight="1" x14ac:dyDescent="0.25">
      <c r="A4" s="4">
        <v>2026</v>
      </c>
      <c r="B4" s="4" t="s">
        <v>30</v>
      </c>
      <c r="C4" s="4" t="s">
        <v>14</v>
      </c>
      <c r="D4" s="3" t="s">
        <v>43</v>
      </c>
      <c r="E4" s="3" t="s">
        <v>44</v>
      </c>
      <c r="F4" s="4" t="s">
        <v>45</v>
      </c>
      <c r="G4" s="3" t="s">
        <v>62</v>
      </c>
      <c r="H4" s="16">
        <v>46129</v>
      </c>
      <c r="I4" s="14" t="s">
        <v>46</v>
      </c>
      <c r="J4" s="3"/>
    </row>
    <row r="5" spans="1:10" ht="18" customHeight="1" x14ac:dyDescent="0.25">
      <c r="A5" s="4">
        <v>2026</v>
      </c>
      <c r="B5" s="4" t="s">
        <v>30</v>
      </c>
      <c r="C5" s="4" t="s">
        <v>14</v>
      </c>
      <c r="D5" s="3" t="s">
        <v>47</v>
      </c>
      <c r="E5" s="3" t="s">
        <v>44</v>
      </c>
      <c r="F5" s="4" t="s">
        <v>45</v>
      </c>
      <c r="G5" s="3" t="s">
        <v>63</v>
      </c>
      <c r="H5" s="16">
        <v>46079</v>
      </c>
      <c r="I5" s="14" t="s">
        <v>46</v>
      </c>
      <c r="J5" s="3"/>
    </row>
    <row r="6" spans="1:10" ht="18" customHeight="1" x14ac:dyDescent="0.25">
      <c r="A6" s="4">
        <v>2026</v>
      </c>
      <c r="B6" s="4" t="s">
        <v>30</v>
      </c>
      <c r="C6" s="4" t="s">
        <v>14</v>
      </c>
      <c r="D6" s="3" t="s">
        <v>48</v>
      </c>
      <c r="E6" s="3" t="s">
        <v>44</v>
      </c>
      <c r="F6" s="4" t="s">
        <v>49</v>
      </c>
      <c r="G6" s="3" t="s">
        <v>64</v>
      </c>
      <c r="H6" s="16">
        <v>46062</v>
      </c>
      <c r="I6" s="15" t="s">
        <v>50</v>
      </c>
      <c r="J6" s="3"/>
    </row>
    <row r="7" spans="1:10" ht="18" customHeight="1" x14ac:dyDescent="0.25">
      <c r="A7" s="4">
        <v>2026</v>
      </c>
      <c r="B7" s="4" t="s">
        <v>32</v>
      </c>
      <c r="C7" s="4" t="s">
        <v>14</v>
      </c>
      <c r="D7" s="3" t="s">
        <v>51</v>
      </c>
      <c r="E7" s="3" t="s">
        <v>44</v>
      </c>
      <c r="F7" s="4" t="s">
        <v>45</v>
      </c>
      <c r="G7" s="3" t="s">
        <v>65</v>
      </c>
      <c r="H7" s="16">
        <v>46129</v>
      </c>
      <c r="I7" s="14" t="s">
        <v>46</v>
      </c>
      <c r="J7" s="3"/>
    </row>
    <row r="8" spans="1:10" ht="18" customHeight="1" x14ac:dyDescent="0.25">
      <c r="A8" s="4">
        <v>2026</v>
      </c>
      <c r="B8" s="4" t="s">
        <v>33</v>
      </c>
      <c r="C8" s="4" t="s">
        <v>14</v>
      </c>
      <c r="D8" s="3" t="s">
        <v>52</v>
      </c>
      <c r="E8" s="3" t="s">
        <v>53</v>
      </c>
      <c r="F8" s="4" t="s">
        <v>49</v>
      </c>
      <c r="G8" s="3" t="s">
        <v>66</v>
      </c>
      <c r="H8" s="4" t="s">
        <v>54</v>
      </c>
      <c r="I8" s="15" t="s">
        <v>50</v>
      </c>
      <c r="J8" s="3"/>
    </row>
    <row r="9" spans="1:10" ht="18" customHeight="1" x14ac:dyDescent="0.25">
      <c r="A9" s="4">
        <v>2026</v>
      </c>
      <c r="B9" s="4" t="s">
        <v>33</v>
      </c>
      <c r="C9" s="4" t="s">
        <v>14</v>
      </c>
      <c r="D9" s="3" t="s">
        <v>55</v>
      </c>
      <c r="E9" s="3" t="s">
        <v>44</v>
      </c>
      <c r="F9" s="4" t="s">
        <v>49</v>
      </c>
      <c r="G9" s="3" t="s">
        <v>67</v>
      </c>
      <c r="H9" s="4" t="s">
        <v>54</v>
      </c>
      <c r="I9" s="15" t="s">
        <v>50</v>
      </c>
      <c r="J9" s="3"/>
    </row>
    <row r="10" spans="1:10" ht="18" customHeight="1" x14ac:dyDescent="0.25">
      <c r="A10" s="4">
        <v>2026</v>
      </c>
      <c r="B10" s="4" t="s">
        <v>33</v>
      </c>
      <c r="C10" s="4" t="s">
        <v>16</v>
      </c>
      <c r="D10" s="3" t="s">
        <v>56</v>
      </c>
      <c r="E10" s="3" t="s">
        <v>57</v>
      </c>
      <c r="F10" s="4" t="s">
        <v>49</v>
      </c>
      <c r="G10" s="3" t="s">
        <v>68</v>
      </c>
      <c r="H10" s="4" t="s">
        <v>54</v>
      </c>
      <c r="I10" s="15" t="s">
        <v>50</v>
      </c>
      <c r="J10" s="3"/>
    </row>
    <row r="11" spans="1:10" ht="18" customHeight="1" x14ac:dyDescent="0.25">
      <c r="A11" s="4">
        <v>2026</v>
      </c>
      <c r="B11" s="4" t="s">
        <v>33</v>
      </c>
      <c r="C11" s="4" t="s">
        <v>16</v>
      </c>
      <c r="D11" s="3" t="s">
        <v>58</v>
      </c>
      <c r="E11" s="3" t="s">
        <v>59</v>
      </c>
      <c r="F11" s="4" t="s">
        <v>49</v>
      </c>
      <c r="G11" s="3" t="s">
        <v>68</v>
      </c>
      <c r="H11" s="4" t="s">
        <v>54</v>
      </c>
      <c r="I11" s="15" t="s">
        <v>50</v>
      </c>
      <c r="J11" s="3"/>
    </row>
    <row r="12" spans="1:10" ht="18" customHeight="1" x14ac:dyDescent="0.25">
      <c r="A12" s="4">
        <v>2026</v>
      </c>
      <c r="B12" s="4" t="s">
        <v>33</v>
      </c>
      <c r="C12" s="4" t="s">
        <v>16</v>
      </c>
      <c r="D12" s="3" t="s">
        <v>58</v>
      </c>
      <c r="E12" s="3" t="s">
        <v>59</v>
      </c>
      <c r="F12" s="4" t="s">
        <v>49</v>
      </c>
      <c r="G12" s="3" t="s">
        <v>60</v>
      </c>
      <c r="H12" s="4" t="s">
        <v>54</v>
      </c>
      <c r="I12" s="15" t="s">
        <v>50</v>
      </c>
      <c r="J12" s="3"/>
    </row>
    <row r="13" spans="1:10" x14ac:dyDescent="0.25">
      <c r="A13" s="4">
        <v>2026</v>
      </c>
      <c r="B13" s="4" t="s">
        <v>69</v>
      </c>
      <c r="C13" s="4" t="s">
        <v>14</v>
      </c>
      <c r="D13" s="3" t="s">
        <v>47</v>
      </c>
      <c r="E13" s="3" t="s">
        <v>44</v>
      </c>
      <c r="F13" s="4" t="s">
        <v>49</v>
      </c>
      <c r="G13" s="3" t="s">
        <v>67</v>
      </c>
      <c r="H13" s="16">
        <v>46218</v>
      </c>
      <c r="I13" s="15" t="s">
        <v>50</v>
      </c>
    </row>
    <row r="14" spans="1:10" x14ac:dyDescent="0.25">
      <c r="A14" s="4">
        <v>2026</v>
      </c>
      <c r="B14" s="4" t="s">
        <v>69</v>
      </c>
      <c r="C14" s="4" t="s">
        <v>14</v>
      </c>
      <c r="D14" s="3" t="s">
        <v>48</v>
      </c>
      <c r="E14" s="3" t="s">
        <v>44</v>
      </c>
      <c r="F14" s="4" t="s">
        <v>49</v>
      </c>
      <c r="G14" s="3" t="s">
        <v>75</v>
      </c>
      <c r="H14" s="16">
        <v>46218</v>
      </c>
      <c r="I14" s="15" t="s">
        <v>50</v>
      </c>
    </row>
    <row r="15" spans="1:10" x14ac:dyDescent="0.25">
      <c r="A15" s="4">
        <v>2026</v>
      </c>
      <c r="B15" s="4" t="s">
        <v>69</v>
      </c>
      <c r="C15" s="4" t="s">
        <v>14</v>
      </c>
      <c r="D15" s="3" t="s">
        <v>70</v>
      </c>
      <c r="E15" s="3" t="s">
        <v>44</v>
      </c>
      <c r="F15" s="4" t="s">
        <v>49</v>
      </c>
      <c r="G15" s="3" t="s">
        <v>76</v>
      </c>
      <c r="H15" s="16">
        <v>46211</v>
      </c>
      <c r="I15" s="15" t="s">
        <v>50</v>
      </c>
    </row>
    <row r="16" spans="1:10" x14ac:dyDescent="0.25">
      <c r="A16" s="4">
        <v>2026</v>
      </c>
      <c r="B16" s="4" t="s">
        <v>69</v>
      </c>
      <c r="C16" s="4" t="s">
        <v>14</v>
      </c>
      <c r="D16" s="3" t="s">
        <v>71</v>
      </c>
      <c r="E16" s="3" t="s">
        <v>44</v>
      </c>
      <c r="F16" s="4" t="s">
        <v>45</v>
      </c>
      <c r="G16" s="3" t="s">
        <v>74</v>
      </c>
      <c r="H16" s="16">
        <v>46225</v>
      </c>
      <c r="I16" s="14" t="s">
        <v>46</v>
      </c>
    </row>
    <row r="17" spans="1:9" x14ac:dyDescent="0.25">
      <c r="A17" s="4">
        <v>2026</v>
      </c>
      <c r="B17" s="4" t="s">
        <v>69</v>
      </c>
      <c r="C17" s="4" t="s">
        <v>14</v>
      </c>
      <c r="D17" s="3" t="s">
        <v>72</v>
      </c>
      <c r="E17" s="3" t="s">
        <v>44</v>
      </c>
      <c r="F17" s="4" t="s">
        <v>45</v>
      </c>
      <c r="G17" s="3" t="s">
        <v>74</v>
      </c>
      <c r="H17" s="16">
        <v>46225</v>
      </c>
      <c r="I17" s="14" t="s">
        <v>46</v>
      </c>
    </row>
    <row r="18" spans="1:9" x14ac:dyDescent="0.25">
      <c r="A18" s="4">
        <v>2026</v>
      </c>
      <c r="B18" s="4" t="s">
        <v>69</v>
      </c>
      <c r="C18" s="4" t="s">
        <v>14</v>
      </c>
      <c r="D18" s="3" t="s">
        <v>73</v>
      </c>
      <c r="E18" s="3" t="s">
        <v>44</v>
      </c>
      <c r="F18" s="4" t="s">
        <v>45</v>
      </c>
      <c r="G18" s="3" t="s">
        <v>74</v>
      </c>
      <c r="H18" s="16">
        <v>46225</v>
      </c>
      <c r="I18" s="14" t="s">
        <v>46</v>
      </c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TALENTO ACTUAL</vt:lpstr>
      <vt:lpstr>TALENTO MENSUAL</vt:lpstr>
      <vt:lpstr>MEMOS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OPAUSTRO CIA. LTDA.</cp:lastModifiedBy>
  <cp:revision>0</cp:revision>
  <dcterms:created xsi:type="dcterms:W3CDTF">2026-06-16T20:08:46Z</dcterms:created>
  <dcterms:modified xsi:type="dcterms:W3CDTF">2026-10-14T21:55:14Z</dcterms:modified>
  <dc:language>en-US</dc:language>
</cp:coreProperties>
</file>
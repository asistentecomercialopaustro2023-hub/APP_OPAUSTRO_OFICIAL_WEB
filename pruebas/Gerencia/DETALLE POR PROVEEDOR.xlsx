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811" documentId="8_{0430E75C-45C4-434B-A5FC-9A7906183C89}" xr6:coauthVersionLast="47" xr6:coauthVersionMax="47" xr10:uidLastSave="{7630B9F4-58E8-4144-B9B3-54A84C574B3D}"/>
  <bookViews>
    <workbookView xWindow="-120" yWindow="-120" windowWidth="21840" windowHeight="13020" activeTab="1" xr2:uid="{648B2FA4-D191-4427-B2D8-D6C121F05EA1}"/>
  </bookViews>
  <sheets>
    <sheet name="POR LINEA" sheetId="1" r:id="rId1"/>
    <sheet name="ADICIONALES" sheetId="2" r:id="rId2"/>
  </sheets>
  <definedNames>
    <definedName name="_xlnm._FilterDatabase" localSheetId="0" hidden="1">'POR LINEA'!$A$1:$E$241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58" i="1" l="1"/>
  <c r="E152" i="1"/>
  <c r="E154" i="1"/>
  <c r="E156" i="1"/>
  <c r="E155" i="1"/>
  <c r="E153" i="1"/>
  <c r="E138" i="1"/>
  <c r="E134" i="1"/>
  <c r="E135" i="1"/>
  <c r="E137" i="1"/>
  <c r="E130" i="1"/>
  <c r="E131" i="1"/>
  <c r="E129" i="1"/>
  <c r="E128" i="1"/>
  <c r="E132" i="1"/>
  <c r="E108" i="1"/>
  <c r="E107" i="1"/>
  <c r="E106" i="1"/>
  <c r="E105" i="1"/>
  <c r="E104" i="1"/>
  <c r="E96" i="1"/>
  <c r="E83" i="1"/>
  <c r="E82" i="1"/>
  <c r="E81" i="1"/>
  <c r="E80" i="1"/>
  <c r="E84" i="1"/>
  <c r="E60" i="1"/>
  <c r="E58" i="1"/>
  <c r="E57" i="1"/>
  <c r="E56" i="1"/>
  <c r="E59" i="1"/>
  <c r="E54" i="1"/>
  <c r="E34" i="1"/>
  <c r="E33" i="1"/>
  <c r="E37" i="1"/>
  <c r="E36" i="1"/>
  <c r="E32" i="1"/>
  <c r="E35" i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<sst xmlns="http://schemas.openxmlformats.org/spreadsheetml/2006/main" count="982" uniqueCount="26">
  <si>
    <t>Suma de VentaNeta</t>
  </si>
  <si>
    <t>CELYASA</t>
  </si>
  <si>
    <t>PROVEEDOR</t>
  </si>
  <si>
    <t>DISPACIF</t>
  </si>
  <si>
    <t>MONDELEZ</t>
  </si>
  <si>
    <t>NIRSA</t>
  </si>
  <si>
    <t>DETALLE</t>
  </si>
  <si>
    <t>HPC</t>
  </si>
  <si>
    <t>ICE</t>
  </si>
  <si>
    <t>GASTOS</t>
  </si>
  <si>
    <t xml:space="preserve">VENTA DE BIENES </t>
  </si>
  <si>
    <t xml:space="preserve">COSTO DE VENTAS Y PRODUCCIÓN </t>
  </si>
  <si>
    <t xml:space="preserve">BONIFICACIÓN EN PRODUCTO </t>
  </si>
  <si>
    <t>MES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</si>
  <si>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</si>
  <si>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</si>
  <si>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</si>
  <si>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</si>
  <si>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</si>
  <si>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</si>
  <si>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</si>
  <si>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</si>
  <si>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</si>
  <si>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RETENCIONES RENTA</t>
  </si>
  <si>
    <t>VALOR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</si>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</sst>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69686D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2" fillId="0" borderId="0" xfId="0" applyFont="1" applyAlignment="1">
      <alignment horizontal="left" vertical="center"/>
    </xf>
    <xf numFmtId="10" fontId="0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6A059A-F05F-4659-BFA4-F4A26AEA1E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262c8bf-4a44-4c82-8dcf-5713f882f64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A3A-E1FE-485B-B71A-B3ECBB4FF369}">
  <sheetPr filterMode="1"/>
  <dimension ref="A1:I272"/>
  <sheetViews>
    <sheetView topLeftCell="A250" zoomScale="80" zoomScaleNormal="80" workbookViewId="0">
      <selection activeCell="E267" sqref="E267:E272"/>
    </sheetView>
  </sheetViews>
  <sheetFormatPr baseColWidth="10" defaultRowHeight="15" x14ac:dyDescent="0.25"/>
  <cols>
    <col min="3" max="3" width="28.7109375" bestFit="1" customWidth="1"/>
    <col min="4" max="4" width="28.42578125" bestFit="1" customWidth="1"/>
    <col min="5" max="5" width="22.140625" customWidth="1"/>
    <col min="6" max="6" width="23.7109375" bestFit="1" customWidth="1"/>
    <col min="7" max="7" width="33.42578125" customWidth="1"/>
    <col min="8" max="8" width="61.85546875" bestFit="1" customWidth="1"/>
    <col min="9" max="9" width="12" bestFit="1" customWidth="1"/>
  </cols>
  <sheetData>
    <row r="1" spans="1:5" x14ac:dyDescent="0.25">
      <c r="A1" t="s">
        <v>14</v>
      </c>
      <c r="B1" t="s">
        <v>13</v>
      </c>
      <c r="C1" t="s">
        <v>2</v>
      </c>
      <c r="D1" t="s">
        <v>6</v>
      </c>
      <c r="E1" t="s">
        <v>0</v>
      </c>
    </row>
    <row r="2" spans="1:5" hidden="1" x14ac:dyDescent="0.25">
      <c r="A2">
        <v>2026</v>
      </c>
      <c r="B2" t="s">
        <v>15</v>
      </c>
      <c r="C2" t="s">
        <v>1</v>
      </c>
      <c r="D2" s="4" t="s">
        <v>10</v>
      </c>
      <c r="E2" s="3">
        <v>85495.516999998275</v>
      </c>
    </row>
    <row r="3" spans="1:5" hidden="1" x14ac:dyDescent="0.25">
      <c r="A3">
        <v>2026</v>
      </c>
      <c r="B3" t="s">
        <v>15</v>
      </c>
      <c r="C3" t="s">
        <v>3</v>
      </c>
      <c r="D3" s="4" t="s">
        <v>10</v>
      </c>
      <c r="E3" s="3">
        <v>92851.959499999793</v>
      </c>
    </row>
    <row r="4" spans="1:5" hidden="1" x14ac:dyDescent="0.25">
      <c r="A4">
        <v>2026</v>
      </c>
      <c r="B4" t="s">
        <v>15</v>
      </c>
      <c r="C4" t="s">
        <v>4</v>
      </c>
      <c r="D4" s="4" t="s">
        <v>10</v>
      </c>
      <c r="E4" s="3">
        <v>133348.79079999981</v>
      </c>
    </row>
    <row r="5" spans="1:5" hidden="1" x14ac:dyDescent="0.25">
      <c r="A5">
        <v>2026</v>
      </c>
      <c r="B5" t="s">
        <v>15</v>
      </c>
      <c r="C5" t="s">
        <v>5</v>
      </c>
      <c r="D5" s="4" t="s">
        <v>10</v>
      </c>
      <c r="E5" s="3">
        <v>249594.42229999453</v>
      </c>
    </row>
    <row r="6" spans="1:5" hidden="1" x14ac:dyDescent="0.25">
      <c r="A6">
        <v>2026</v>
      </c>
      <c r="B6" t="s">
        <v>15</v>
      </c>
      <c r="C6" t="s">
        <v>7</v>
      </c>
      <c r="D6" s="4" t="s">
        <v>10</v>
      </c>
      <c r="E6" s="3">
        <v>721989.16590005404</v>
      </c>
    </row>
    <row r="7" spans="1:5" hidden="1" x14ac:dyDescent="0.25">
      <c r="A7">
        <v>2026</v>
      </c>
      <c r="B7" t="s">
        <v>15</v>
      </c>
      <c r="C7" t="s">
        <v>8</v>
      </c>
      <c r="D7" s="4" t="s">
        <v>10</v>
      </c>
      <c r="E7" s="3">
        <v>189198.49</v>
      </c>
    </row>
    <row r="8" spans="1:5" hidden="1" x14ac:dyDescent="0.25">
      <c r="A8">
        <v>2026</v>
      </c>
      <c r="B8" t="s">
        <v>15</v>
      </c>
      <c r="C8" t="s">
        <v>1</v>
      </c>
      <c r="D8" s="4" t="s">
        <v>11</v>
      </c>
      <c r="E8" s="3">
        <f>82144.7541000007+1717.24-2117.49+518.22</f>
        <v>82262.724100000705</v>
      </c>
    </row>
    <row r="9" spans="1:5" hidden="1" x14ac:dyDescent="0.25">
      <c r="A9">
        <v>2026</v>
      </c>
      <c r="B9" t="s">
        <v>15</v>
      </c>
      <c r="C9" t="s">
        <v>3</v>
      </c>
      <c r="D9" s="4" t="s">
        <v>11</v>
      </c>
      <c r="E9" s="3">
        <f>86154.2921000005-7911.64+518.22</f>
        <v>78760.872100000503</v>
      </c>
    </row>
    <row r="10" spans="1:5" hidden="1" x14ac:dyDescent="0.25">
      <c r="A10">
        <v>2026</v>
      </c>
      <c r="B10" t="s">
        <v>15</v>
      </c>
      <c r="C10" t="s">
        <v>4</v>
      </c>
      <c r="D10" s="4" t="s">
        <v>11</v>
      </c>
      <c r="E10" s="3">
        <f>112394.047200008+9333.05-29058.37+518.22</f>
        <v>93186.947200008013</v>
      </c>
    </row>
    <row r="11" spans="1:5" hidden="1" x14ac:dyDescent="0.25">
      <c r="A11">
        <v>2026</v>
      </c>
      <c r="B11" t="s">
        <v>15</v>
      </c>
      <c r="C11" t="s">
        <v>5</v>
      </c>
      <c r="D11" s="4" t="s">
        <v>11</v>
      </c>
      <c r="E11" s="3">
        <f>242344.659800007-38629.6+518.22</f>
        <v>204233.279800007</v>
      </c>
    </row>
    <row r="12" spans="1:5" hidden="1" x14ac:dyDescent="0.25">
      <c r="A12">
        <v>2026</v>
      </c>
      <c r="B12" t="s">
        <v>15</v>
      </c>
      <c r="C12" t="s">
        <v>7</v>
      </c>
      <c r="D12" s="4" t="s">
        <v>11</v>
      </c>
      <c r="E12" s="3">
        <f>768336.29419995+1306.54-261994.86+518.22+518.22</f>
        <v>508684.41419994994</v>
      </c>
    </row>
    <row r="13" spans="1:5" hidden="1" x14ac:dyDescent="0.25">
      <c r="A13">
        <v>2026</v>
      </c>
      <c r="B13" t="s">
        <v>15</v>
      </c>
      <c r="C13" t="s">
        <v>8</v>
      </c>
      <c r="D13" s="4" t="s">
        <v>11</v>
      </c>
      <c r="E13" s="3">
        <v>156678.5</v>
      </c>
    </row>
    <row r="14" spans="1:5" hidden="1" x14ac:dyDescent="0.25">
      <c r="A14">
        <v>2026</v>
      </c>
      <c r="B14" t="s">
        <v>15</v>
      </c>
      <c r="C14" t="s">
        <v>1</v>
      </c>
      <c r="D14" s="4" t="s">
        <v>9</v>
      </c>
      <c r="E14" s="3">
        <v>10670.3213</v>
      </c>
    </row>
    <row r="15" spans="1:5" hidden="1" x14ac:dyDescent="0.25">
      <c r="A15">
        <v>2026</v>
      </c>
      <c r="B15" t="s">
        <v>15</v>
      </c>
      <c r="C15" t="s">
        <v>3</v>
      </c>
      <c r="D15" s="4" t="s">
        <v>9</v>
      </c>
      <c r="E15" s="3">
        <v>11697.601199999999</v>
      </c>
    </row>
    <row r="16" spans="1:5" hidden="1" x14ac:dyDescent="0.25">
      <c r="A16">
        <v>2026</v>
      </c>
      <c r="B16" t="s">
        <v>15</v>
      </c>
      <c r="C16" t="s">
        <v>4</v>
      </c>
      <c r="D16" s="4" t="s">
        <v>9</v>
      </c>
      <c r="E16" s="3">
        <v>23058.0075</v>
      </c>
    </row>
    <row r="17" spans="1:5" hidden="1" x14ac:dyDescent="0.25">
      <c r="A17">
        <v>2026</v>
      </c>
      <c r="B17" t="s">
        <v>15</v>
      </c>
      <c r="C17" t="s">
        <v>5</v>
      </c>
      <c r="D17" s="4" t="s">
        <v>9</v>
      </c>
      <c r="E17" s="3">
        <v>29808.748900000002</v>
      </c>
    </row>
    <row r="18" spans="1:5" hidden="1" x14ac:dyDescent="0.25">
      <c r="A18">
        <v>2026</v>
      </c>
      <c r="B18" t="s">
        <v>15</v>
      </c>
      <c r="C18" t="s">
        <v>7</v>
      </c>
      <c r="D18" s="4" t="s">
        <v>9</v>
      </c>
      <c r="E18" s="3">
        <v>119133.63</v>
      </c>
    </row>
    <row r="19" spans="1:5" hidden="1" x14ac:dyDescent="0.25">
      <c r="A19">
        <v>2026</v>
      </c>
      <c r="B19" t="s">
        <v>15</v>
      </c>
      <c r="C19" t="s">
        <v>8</v>
      </c>
      <c r="D19" s="4" t="s">
        <v>9</v>
      </c>
      <c r="E19" s="3">
        <v>37362.78</v>
      </c>
    </row>
    <row r="20" spans="1:5" hidden="1" x14ac:dyDescent="0.25">
      <c r="A20">
        <v>2026</v>
      </c>
      <c r="B20" t="s">
        <v>15</v>
      </c>
      <c r="C20" t="s">
        <v>1</v>
      </c>
      <c r="D20" s="4" t="s">
        <v>12</v>
      </c>
      <c r="E20" s="3">
        <v>0</v>
      </c>
    </row>
    <row r="21" spans="1:5" hidden="1" x14ac:dyDescent="0.25">
      <c r="A21">
        <v>2026</v>
      </c>
      <c r="B21" t="s">
        <v>15</v>
      </c>
      <c r="C21" t="s">
        <v>3</v>
      </c>
      <c r="D21" s="4" t="s">
        <v>12</v>
      </c>
      <c r="E21" s="3">
        <v>711.53110000000004</v>
      </c>
    </row>
    <row r="22" spans="1:5" hidden="1" x14ac:dyDescent="0.25">
      <c r="A22">
        <v>2026</v>
      </c>
      <c r="B22" t="s">
        <v>15</v>
      </c>
      <c r="C22" t="s">
        <v>4</v>
      </c>
      <c r="D22" s="4" t="s">
        <v>12</v>
      </c>
      <c r="E22" s="3">
        <v>2363.2370000000001</v>
      </c>
    </row>
    <row r="23" spans="1:5" hidden="1" x14ac:dyDescent="0.25">
      <c r="A23">
        <v>2026</v>
      </c>
      <c r="B23" t="s">
        <v>15</v>
      </c>
      <c r="C23" t="s">
        <v>5</v>
      </c>
      <c r="D23" s="4" t="s">
        <v>12</v>
      </c>
      <c r="E23" s="3">
        <v>4434.2187999999996</v>
      </c>
    </row>
    <row r="24" spans="1:5" hidden="1" x14ac:dyDescent="0.25">
      <c r="A24">
        <v>2026</v>
      </c>
      <c r="B24" t="s">
        <v>15</v>
      </c>
      <c r="C24" t="s">
        <v>7</v>
      </c>
      <c r="D24" s="4" t="s">
        <v>12</v>
      </c>
      <c r="E24" s="3">
        <v>32310.115500000007</v>
      </c>
    </row>
    <row r="25" spans="1:5" hidden="1" x14ac:dyDescent="0.25">
      <c r="A25">
        <v>2026</v>
      </c>
      <c r="B25" t="s">
        <v>15</v>
      </c>
      <c r="C25" t="s">
        <v>8</v>
      </c>
      <c r="D25" s="4" t="s">
        <v>12</v>
      </c>
      <c r="E25" s="3">
        <v>0</v>
      </c>
    </row>
    <row r="26" spans="1:5" hidden="1" x14ac:dyDescent="0.25">
      <c r="A26">
        <v>2026</v>
      </c>
      <c r="B26" t="s">
        <v>16</v>
      </c>
      <c r="C26" t="s">
        <v>1</v>
      </c>
      <c r="D26" s="4" t="s">
        <v>10</v>
      </c>
      <c r="E26" s="3">
        <v>77493.450099998765</v>
      </c>
    </row>
    <row r="27" spans="1:5" hidden="1" x14ac:dyDescent="0.25">
      <c r="A27">
        <v>2026</v>
      </c>
      <c r="B27" t="s">
        <v>16</v>
      </c>
      <c r="C27" t="s">
        <v>3</v>
      </c>
      <c r="D27" s="4" t="s">
        <v>10</v>
      </c>
      <c r="E27" s="3">
        <v>76674.18439999946</v>
      </c>
    </row>
    <row r="28" spans="1:5" hidden="1" x14ac:dyDescent="0.25">
      <c r="A28">
        <v>2026</v>
      </c>
      <c r="B28" t="s">
        <v>16</v>
      </c>
      <c r="C28" t="s">
        <v>4</v>
      </c>
      <c r="D28" s="4" t="s">
        <v>10</v>
      </c>
      <c r="E28" s="3">
        <v>145359.8761000009</v>
      </c>
    </row>
    <row r="29" spans="1:5" hidden="1" x14ac:dyDescent="0.25">
      <c r="A29">
        <v>2026</v>
      </c>
      <c r="B29" t="s">
        <v>16</v>
      </c>
      <c r="C29" t="s">
        <v>5</v>
      </c>
      <c r="D29" s="4" t="s">
        <v>10</v>
      </c>
      <c r="E29" s="3">
        <v>270902.51149999269</v>
      </c>
    </row>
    <row r="30" spans="1:5" hidden="1" x14ac:dyDescent="0.25">
      <c r="A30">
        <v>2026</v>
      </c>
      <c r="B30" t="s">
        <v>16</v>
      </c>
      <c r="C30" t="s">
        <v>7</v>
      </c>
      <c r="D30" s="4" t="s">
        <v>10</v>
      </c>
      <c r="E30" s="3">
        <v>662560.93030006299</v>
      </c>
    </row>
    <row r="31" spans="1:5" hidden="1" x14ac:dyDescent="0.25">
      <c r="A31">
        <v>2026</v>
      </c>
      <c r="B31" t="s">
        <v>16</v>
      </c>
      <c r="C31" t="s">
        <v>8</v>
      </c>
      <c r="D31" s="4" t="s">
        <v>10</v>
      </c>
      <c r="E31" s="3">
        <v>182425.68</v>
      </c>
    </row>
    <row r="32" spans="1:5" hidden="1" x14ac:dyDescent="0.25">
      <c r="A32">
        <v>2026</v>
      </c>
      <c r="B32" t="s">
        <v>16</v>
      </c>
      <c r="C32" t="s">
        <v>1</v>
      </c>
      <c r="D32" s="4" t="s">
        <v>11</v>
      </c>
      <c r="E32" s="3">
        <f>74105.82-10639.4+2144.48</f>
        <v>65610.900000000009</v>
      </c>
    </row>
    <row r="33" spans="1:5" hidden="1" x14ac:dyDescent="0.25">
      <c r="A33">
        <v>2026</v>
      </c>
      <c r="B33" t="s">
        <v>16</v>
      </c>
      <c r="C33" t="s">
        <v>3</v>
      </c>
      <c r="D33" s="4" t="s">
        <v>11</v>
      </c>
      <c r="E33" s="3">
        <f>71360.87-7336.23-22.71</f>
        <v>64001.93</v>
      </c>
    </row>
    <row r="34" spans="1:5" hidden="1" x14ac:dyDescent="0.25">
      <c r="A34">
        <v>2026</v>
      </c>
      <c r="B34" t="s">
        <v>16</v>
      </c>
      <c r="C34" t="s">
        <v>4</v>
      </c>
      <c r="D34" s="4" t="s">
        <v>11</v>
      </c>
      <c r="E34" s="3">
        <f>123152.46+13757.68</f>
        <v>136910.14000000001</v>
      </c>
    </row>
    <row r="35" spans="1:5" hidden="1" x14ac:dyDescent="0.25">
      <c r="A35">
        <v>2026</v>
      </c>
      <c r="B35" t="s">
        <v>16</v>
      </c>
      <c r="C35" t="s">
        <v>5</v>
      </c>
      <c r="D35" s="4" t="s">
        <v>11</v>
      </c>
      <c r="E35" s="3">
        <f>264713.36-35403.87</f>
        <v>229309.49</v>
      </c>
    </row>
    <row r="36" spans="1:5" hidden="1" x14ac:dyDescent="0.25">
      <c r="A36">
        <v>2026</v>
      </c>
      <c r="B36" t="s">
        <v>16</v>
      </c>
      <c r="C36" t="s">
        <v>7</v>
      </c>
      <c r="D36" s="4" t="s">
        <v>11</v>
      </c>
      <c r="E36" s="3">
        <f>718266.63-199857.49-71.44</f>
        <v>518337.7</v>
      </c>
    </row>
    <row r="37" spans="1:5" hidden="1" x14ac:dyDescent="0.25">
      <c r="A37">
        <v>2026</v>
      </c>
      <c r="B37" t="s">
        <v>16</v>
      </c>
      <c r="C37" t="s">
        <v>8</v>
      </c>
      <c r="D37" s="4" t="s">
        <v>11</v>
      </c>
      <c r="E37" s="3">
        <f>151210.75</f>
        <v>151210.75</v>
      </c>
    </row>
    <row r="38" spans="1:5" hidden="1" x14ac:dyDescent="0.25">
      <c r="A38">
        <v>2026</v>
      </c>
      <c r="B38" t="s">
        <v>16</v>
      </c>
      <c r="C38" t="s">
        <v>1</v>
      </c>
      <c r="D38" s="4" t="s">
        <v>9</v>
      </c>
      <c r="E38" s="3">
        <v>10531.8115</v>
      </c>
    </row>
    <row r="39" spans="1:5" hidden="1" x14ac:dyDescent="0.25">
      <c r="A39">
        <v>2026</v>
      </c>
      <c r="B39" t="s">
        <v>16</v>
      </c>
      <c r="C39" t="s">
        <v>3</v>
      </c>
      <c r="D39" s="4" t="s">
        <v>9</v>
      </c>
      <c r="E39" s="3">
        <v>11559.706</v>
      </c>
    </row>
    <row r="40" spans="1:5" hidden="1" x14ac:dyDescent="0.25">
      <c r="A40">
        <v>2026</v>
      </c>
      <c r="B40" t="s">
        <v>16</v>
      </c>
      <c r="C40" t="s">
        <v>4</v>
      </c>
      <c r="D40" s="4" t="s">
        <v>9</v>
      </c>
      <c r="E40" s="3">
        <v>22468.162499999999</v>
      </c>
    </row>
    <row r="41" spans="1:5" hidden="1" x14ac:dyDescent="0.25">
      <c r="A41">
        <v>2026</v>
      </c>
      <c r="B41" t="s">
        <v>16</v>
      </c>
      <c r="C41" t="s">
        <v>5</v>
      </c>
      <c r="D41" s="4" t="s">
        <v>9</v>
      </c>
      <c r="E41">
        <v>29646.756300000001</v>
      </c>
    </row>
    <row r="42" spans="1:5" hidden="1" x14ac:dyDescent="0.25">
      <c r="A42">
        <v>2026</v>
      </c>
      <c r="B42" t="s">
        <v>16</v>
      </c>
      <c r="C42" t="s">
        <v>7</v>
      </c>
      <c r="D42" s="4" t="s">
        <v>9</v>
      </c>
      <c r="E42" s="3">
        <v>115484.54</v>
      </c>
    </row>
    <row r="43" spans="1:5" hidden="1" x14ac:dyDescent="0.25">
      <c r="A43">
        <v>2026</v>
      </c>
      <c r="B43" t="s">
        <v>16</v>
      </c>
      <c r="C43" t="s">
        <v>8</v>
      </c>
      <c r="D43" s="4" t="s">
        <v>9</v>
      </c>
      <c r="E43" s="3">
        <v>39868.39</v>
      </c>
    </row>
    <row r="44" spans="1:5" hidden="1" x14ac:dyDescent="0.25">
      <c r="A44">
        <v>2026</v>
      </c>
      <c r="B44" t="s">
        <v>16</v>
      </c>
      <c r="C44" t="s">
        <v>1</v>
      </c>
      <c r="D44" s="4" t="s">
        <v>12</v>
      </c>
      <c r="E44" s="3">
        <v>0</v>
      </c>
    </row>
    <row r="45" spans="1:5" hidden="1" x14ac:dyDescent="0.25">
      <c r="A45">
        <v>2026</v>
      </c>
      <c r="B45" t="s">
        <v>16</v>
      </c>
      <c r="C45" t="s">
        <v>3</v>
      </c>
      <c r="D45" s="4" t="s">
        <v>12</v>
      </c>
      <c r="E45" s="3">
        <v>584.46839999999997</v>
      </c>
    </row>
    <row r="46" spans="1:5" hidden="1" x14ac:dyDescent="0.25">
      <c r="A46">
        <v>2026</v>
      </c>
      <c r="B46" t="s">
        <v>16</v>
      </c>
      <c r="C46" t="s">
        <v>4</v>
      </c>
      <c r="D46" s="4" t="s">
        <v>12</v>
      </c>
      <c r="E46" s="3">
        <v>3877.0530000000003</v>
      </c>
    </row>
    <row r="47" spans="1:5" hidden="1" x14ac:dyDescent="0.25">
      <c r="A47">
        <v>2026</v>
      </c>
      <c r="B47" t="s">
        <v>16</v>
      </c>
      <c r="C47" t="s">
        <v>5</v>
      </c>
      <c r="D47" s="4" t="s">
        <v>12</v>
      </c>
      <c r="E47" s="3">
        <v>7465.2200999999995</v>
      </c>
    </row>
    <row r="48" spans="1:5" hidden="1" x14ac:dyDescent="0.25">
      <c r="A48">
        <v>2026</v>
      </c>
      <c r="B48" t="s">
        <v>16</v>
      </c>
      <c r="C48" t="s">
        <v>7</v>
      </c>
      <c r="D48" s="4" t="s">
        <v>12</v>
      </c>
      <c r="E48" s="3">
        <v>19470.09</v>
      </c>
    </row>
    <row r="49" spans="1:5" hidden="1" x14ac:dyDescent="0.25">
      <c r="A49">
        <v>2026</v>
      </c>
      <c r="B49" t="s">
        <v>16</v>
      </c>
      <c r="C49" t="s">
        <v>8</v>
      </c>
      <c r="D49" s="4" t="s">
        <v>12</v>
      </c>
      <c r="E49" s="3">
        <v>0</v>
      </c>
    </row>
    <row r="50" spans="1:5" hidden="1" x14ac:dyDescent="0.25">
      <c r="A50">
        <v>2026</v>
      </c>
      <c r="B50" t="s">
        <v>17</v>
      </c>
      <c r="C50" t="s">
        <v>1</v>
      </c>
      <c r="D50" s="4" t="s">
        <v>10</v>
      </c>
      <c r="E50" s="3">
        <v>94603.869499997993</v>
      </c>
    </row>
    <row r="51" spans="1:5" hidden="1" x14ac:dyDescent="0.25">
      <c r="A51">
        <v>2026</v>
      </c>
      <c r="B51" t="s">
        <v>17</v>
      </c>
      <c r="C51" t="s">
        <v>3</v>
      </c>
      <c r="D51" s="4" t="s">
        <v>10</v>
      </c>
      <c r="E51" s="3">
        <v>95555.474599999463</v>
      </c>
    </row>
    <row r="52" spans="1:5" hidden="1" x14ac:dyDescent="0.25">
      <c r="A52">
        <v>2026</v>
      </c>
      <c r="B52" t="s">
        <v>17</v>
      </c>
      <c r="C52" t="s">
        <v>4</v>
      </c>
      <c r="D52" s="4" t="s">
        <v>10</v>
      </c>
      <c r="E52" s="3">
        <v>144129.24850000211</v>
      </c>
    </row>
    <row r="53" spans="1:5" hidden="1" x14ac:dyDescent="0.25">
      <c r="A53">
        <v>2026</v>
      </c>
      <c r="B53" t="s">
        <v>17</v>
      </c>
      <c r="C53" t="s">
        <v>5</v>
      </c>
      <c r="D53" s="4" t="s">
        <v>10</v>
      </c>
      <c r="E53" s="3">
        <v>269266.57749999734</v>
      </c>
    </row>
    <row r="54" spans="1:5" hidden="1" x14ac:dyDescent="0.25">
      <c r="A54">
        <v>2026</v>
      </c>
      <c r="B54" t="s">
        <v>17</v>
      </c>
      <c r="C54" t="s">
        <v>7</v>
      </c>
      <c r="D54" s="4" t="s">
        <v>10</v>
      </c>
      <c r="E54" s="3">
        <f>974682.21-E55</f>
        <v>743534.1</v>
      </c>
    </row>
    <row r="55" spans="1:5" hidden="1" x14ac:dyDescent="0.25">
      <c r="A55">
        <v>2026</v>
      </c>
      <c r="B55" t="s">
        <v>17</v>
      </c>
      <c r="C55" t="s">
        <v>8</v>
      </c>
      <c r="D55" s="4" t="s">
        <v>10</v>
      </c>
      <c r="E55" s="3">
        <v>231148.11</v>
      </c>
    </row>
    <row r="56" spans="1:5" hidden="1" x14ac:dyDescent="0.25">
      <c r="A56">
        <v>2026</v>
      </c>
      <c r="B56" t="s">
        <v>17</v>
      </c>
      <c r="C56" t="s">
        <v>1</v>
      </c>
      <c r="D56" s="4" t="s">
        <v>11</v>
      </c>
      <c r="E56" s="3">
        <f>92088.5200000013-3346.57-2139.59</f>
        <v>86602.360000001296</v>
      </c>
    </row>
    <row r="57" spans="1:5" hidden="1" x14ac:dyDescent="0.25">
      <c r="A57">
        <v>2026</v>
      </c>
      <c r="B57" t="s">
        <v>17</v>
      </c>
      <c r="C57" t="s">
        <v>3</v>
      </c>
      <c r="D57" s="4" t="s">
        <v>11</v>
      </c>
      <c r="E57" s="3">
        <f>88799.8219000021-10816.63+922.13</f>
        <v>78905.321900002105</v>
      </c>
    </row>
    <row r="58" spans="1:5" hidden="1" x14ac:dyDescent="0.25">
      <c r="A58">
        <v>2026</v>
      </c>
      <c r="B58" t="s">
        <v>17</v>
      </c>
      <c r="C58" t="s">
        <v>4</v>
      </c>
      <c r="D58" s="4" t="s">
        <v>11</v>
      </c>
      <c r="E58" s="3">
        <f>123453.409800006-6762.48+10903.29</f>
        <v>127594.21980000602</v>
      </c>
    </row>
    <row r="59" spans="1:5" hidden="1" x14ac:dyDescent="0.25">
      <c r="A59">
        <v>2026</v>
      </c>
      <c r="B59" t="s">
        <v>17</v>
      </c>
      <c r="C59" t="s">
        <v>5</v>
      </c>
      <c r="D59" s="4" t="s">
        <v>11</v>
      </c>
      <c r="E59" s="3">
        <f>258998.120700007-42993.07</f>
        <v>216005.05070000701</v>
      </c>
    </row>
    <row r="60" spans="1:5" hidden="1" x14ac:dyDescent="0.25">
      <c r="A60">
        <v>2026</v>
      </c>
      <c r="B60" t="s">
        <v>17</v>
      </c>
      <c r="C60" t="s">
        <v>7</v>
      </c>
      <c r="D60" s="4" t="s">
        <v>11</v>
      </c>
      <c r="E60" s="2">
        <f>798347.403900013-205278.21+3798.55</f>
        <v>596867.74390001304</v>
      </c>
    </row>
    <row r="61" spans="1:5" hidden="1" x14ac:dyDescent="0.25">
      <c r="A61">
        <v>2026</v>
      </c>
      <c r="B61" t="s">
        <v>17</v>
      </c>
      <c r="C61" t="s">
        <v>8</v>
      </c>
      <c r="D61" s="4" t="s">
        <v>11</v>
      </c>
      <c r="E61" s="3">
        <v>192704.66</v>
      </c>
    </row>
    <row r="62" spans="1:5" hidden="1" x14ac:dyDescent="0.25">
      <c r="A62">
        <v>2026</v>
      </c>
      <c r="B62" t="s">
        <v>17</v>
      </c>
      <c r="C62" t="s">
        <v>1</v>
      </c>
      <c r="D62" s="4" t="s">
        <v>9</v>
      </c>
      <c r="E62" s="3">
        <v>10557.191500000001</v>
      </c>
    </row>
    <row r="63" spans="1:5" hidden="1" x14ac:dyDescent="0.25">
      <c r="A63">
        <v>2026</v>
      </c>
      <c r="B63" t="s">
        <v>17</v>
      </c>
      <c r="C63" t="s">
        <v>3</v>
      </c>
      <c r="D63" s="4" t="s">
        <v>9</v>
      </c>
      <c r="E63" s="3">
        <v>11532.108</v>
      </c>
    </row>
    <row r="64" spans="1:5" hidden="1" x14ac:dyDescent="0.25">
      <c r="A64">
        <v>2026</v>
      </c>
      <c r="B64" t="s">
        <v>17</v>
      </c>
      <c r="C64" t="s">
        <v>4</v>
      </c>
      <c r="D64" s="4" t="s">
        <v>9</v>
      </c>
      <c r="E64" s="3">
        <v>23677.612500000003</v>
      </c>
    </row>
    <row r="65" spans="1:5" hidden="1" x14ac:dyDescent="0.25">
      <c r="A65">
        <v>2026</v>
      </c>
      <c r="B65" t="s">
        <v>17</v>
      </c>
      <c r="C65" t="s">
        <v>5</v>
      </c>
      <c r="D65" s="4" t="s">
        <v>9</v>
      </c>
      <c r="E65">
        <v>28823.721600000004</v>
      </c>
    </row>
    <row r="66" spans="1:5" hidden="1" x14ac:dyDescent="0.25">
      <c r="A66">
        <v>2026</v>
      </c>
      <c r="B66" t="s">
        <v>17</v>
      </c>
      <c r="C66" t="s">
        <v>7</v>
      </c>
      <c r="D66" s="4" t="s">
        <v>9</v>
      </c>
      <c r="E66" s="3">
        <v>111472.32000000001</v>
      </c>
    </row>
    <row r="67" spans="1:5" hidden="1" x14ac:dyDescent="0.25">
      <c r="A67">
        <v>2026</v>
      </c>
      <c r="B67" t="s">
        <v>17</v>
      </c>
      <c r="C67" t="s">
        <v>8</v>
      </c>
      <c r="D67" s="4" t="s">
        <v>9</v>
      </c>
      <c r="E67" s="3">
        <v>41922.99</v>
      </c>
    </row>
    <row r="68" spans="1:5" hidden="1" x14ac:dyDescent="0.25">
      <c r="A68">
        <v>2026</v>
      </c>
      <c r="B68" t="s">
        <v>17</v>
      </c>
      <c r="C68" t="s">
        <v>1</v>
      </c>
      <c r="D68" s="4" t="s">
        <v>12</v>
      </c>
      <c r="E68" s="3">
        <v>0</v>
      </c>
    </row>
    <row r="69" spans="1:5" hidden="1" x14ac:dyDescent="0.25">
      <c r="A69">
        <v>2026</v>
      </c>
      <c r="B69" t="s">
        <v>17</v>
      </c>
      <c r="C69" t="s">
        <v>3</v>
      </c>
      <c r="D69" s="4" t="s">
        <v>12</v>
      </c>
      <c r="E69" s="3">
        <v>736.35030000000006</v>
      </c>
    </row>
    <row r="70" spans="1:5" hidden="1" x14ac:dyDescent="0.25">
      <c r="A70">
        <v>2026</v>
      </c>
      <c r="B70" t="s">
        <v>17</v>
      </c>
      <c r="C70" t="s">
        <v>4</v>
      </c>
      <c r="D70" s="4" t="s">
        <v>12</v>
      </c>
      <c r="E70" s="3">
        <v>5370.5995000000012</v>
      </c>
    </row>
    <row r="71" spans="1:5" hidden="1" x14ac:dyDescent="0.25">
      <c r="A71">
        <v>2026</v>
      </c>
      <c r="B71" t="s">
        <v>17</v>
      </c>
      <c r="C71" t="s">
        <v>5</v>
      </c>
      <c r="D71" s="4" t="s">
        <v>12</v>
      </c>
      <c r="E71" s="3">
        <v>6051.3029999999999</v>
      </c>
    </row>
    <row r="72" spans="1:5" hidden="1" x14ac:dyDescent="0.25">
      <c r="A72">
        <v>2026</v>
      </c>
      <c r="B72" t="s">
        <v>17</v>
      </c>
      <c r="C72" t="s">
        <v>7</v>
      </c>
      <c r="D72" s="4" t="s">
        <v>12</v>
      </c>
      <c r="E72" s="3">
        <v>17917.3999</v>
      </c>
    </row>
    <row r="73" spans="1:5" hidden="1" x14ac:dyDescent="0.25">
      <c r="A73">
        <v>2026</v>
      </c>
      <c r="B73" t="s">
        <v>17</v>
      </c>
      <c r="C73" t="s">
        <v>8</v>
      </c>
      <c r="D73" s="4" t="s">
        <v>12</v>
      </c>
      <c r="E73" s="3">
        <v>0</v>
      </c>
    </row>
    <row r="74" spans="1:5" hidden="1" x14ac:dyDescent="0.25">
      <c r="A74">
        <v>2026</v>
      </c>
      <c r="B74" t="s">
        <v>18</v>
      </c>
      <c r="C74" t="s">
        <v>1</v>
      </c>
      <c r="D74" s="4" t="s">
        <v>10</v>
      </c>
      <c r="E74" s="3">
        <v>80338.175099998902</v>
      </c>
    </row>
    <row r="75" spans="1:5" hidden="1" x14ac:dyDescent="0.25">
      <c r="A75">
        <v>2026</v>
      </c>
      <c r="B75" t="s">
        <v>18</v>
      </c>
      <c r="C75" t="s">
        <v>3</v>
      </c>
      <c r="D75" s="4" t="s">
        <v>10</v>
      </c>
      <c r="E75" s="3">
        <v>99054.254999999743</v>
      </c>
    </row>
    <row r="76" spans="1:5" hidden="1" x14ac:dyDescent="0.25">
      <c r="A76">
        <v>2026</v>
      </c>
      <c r="B76" t="s">
        <v>18</v>
      </c>
      <c r="C76" t="s">
        <v>4</v>
      </c>
      <c r="D76" s="4" t="s">
        <v>10</v>
      </c>
      <c r="E76" s="3">
        <v>140509.35320000048</v>
      </c>
    </row>
    <row r="77" spans="1:5" hidden="1" x14ac:dyDescent="0.25">
      <c r="A77">
        <v>2026</v>
      </c>
      <c r="B77" t="s">
        <v>18</v>
      </c>
      <c r="C77" t="s">
        <v>5</v>
      </c>
      <c r="D77" s="4" t="s">
        <v>10</v>
      </c>
      <c r="E77" s="3">
        <v>278723.60909999692</v>
      </c>
    </row>
    <row r="78" spans="1:5" hidden="1" x14ac:dyDescent="0.25">
      <c r="A78">
        <v>2026</v>
      </c>
      <c r="B78" t="s">
        <v>18</v>
      </c>
      <c r="C78" t="s">
        <v>7</v>
      </c>
      <c r="D78" s="4" t="s">
        <v>10</v>
      </c>
      <c r="E78" s="3">
        <v>760354.35000000009</v>
      </c>
    </row>
    <row r="79" spans="1:5" hidden="1" x14ac:dyDescent="0.25">
      <c r="A79">
        <v>2026</v>
      </c>
      <c r="B79" t="s">
        <v>18</v>
      </c>
      <c r="C79" t="s">
        <v>8</v>
      </c>
      <c r="D79" s="4" t="s">
        <v>10</v>
      </c>
      <c r="E79" s="3">
        <v>233588.95</v>
      </c>
    </row>
    <row r="80" spans="1:5" hidden="1" x14ac:dyDescent="0.25">
      <c r="A80">
        <v>2026</v>
      </c>
      <c r="B80" t="s">
        <v>18</v>
      </c>
      <c r="C80" t="s">
        <v>1</v>
      </c>
      <c r="D80" s="4" t="s">
        <v>11</v>
      </c>
      <c r="E80" s="3">
        <f>77110.0594999998-2824.51+1848.23</f>
        <v>76133.7794999998</v>
      </c>
    </row>
    <row r="81" spans="1:5" hidden="1" x14ac:dyDescent="0.25">
      <c r="A81">
        <v>2026</v>
      </c>
      <c r="B81" t="s">
        <v>18</v>
      </c>
      <c r="C81" t="s">
        <v>3</v>
      </c>
      <c r="D81" s="4" t="s">
        <v>11</v>
      </c>
      <c r="E81" s="3">
        <f>92389.6891999996-8367.71+53.17</f>
        <v>84075.149199999592</v>
      </c>
    </row>
    <row r="82" spans="1:5" hidden="1" x14ac:dyDescent="0.25">
      <c r="A82">
        <v>2026</v>
      </c>
      <c r="B82" t="s">
        <v>18</v>
      </c>
      <c r="C82" t="s">
        <v>4</v>
      </c>
      <c r="D82" s="4" t="s">
        <v>11</v>
      </c>
      <c r="E82" s="3">
        <f>118474.425000008-10924.4+10120.95</f>
        <v>117670.97500000801</v>
      </c>
    </row>
    <row r="83" spans="1:5" hidden="1" x14ac:dyDescent="0.25">
      <c r="A83">
        <v>2026</v>
      </c>
      <c r="B83" t="s">
        <v>18</v>
      </c>
      <c r="C83" t="s">
        <v>5</v>
      </c>
      <c r="D83" s="4" t="s">
        <v>11</v>
      </c>
      <c r="E83" s="3">
        <f>266321.342899999-3860.29-9.3</f>
        <v>262451.75289999903</v>
      </c>
    </row>
    <row r="84" spans="1:5" hidden="1" x14ac:dyDescent="0.25">
      <c r="A84">
        <v>2026</v>
      </c>
      <c r="B84" t="s">
        <v>18</v>
      </c>
      <c r="C84" t="s">
        <v>7</v>
      </c>
      <c r="D84" s="4" t="s">
        <v>11</v>
      </c>
      <c r="E84" s="2">
        <f>827360.88-246409.72+228.89</f>
        <v>581180.05000000005</v>
      </c>
    </row>
    <row r="85" spans="1:5" hidden="1" x14ac:dyDescent="0.25">
      <c r="A85">
        <v>2026</v>
      </c>
      <c r="B85" t="s">
        <v>18</v>
      </c>
      <c r="C85" t="s">
        <v>8</v>
      </c>
      <c r="D85" s="4" t="s">
        <v>11</v>
      </c>
      <c r="E85" s="3">
        <v>179466.4</v>
      </c>
    </row>
    <row r="86" spans="1:5" hidden="1" x14ac:dyDescent="0.25">
      <c r="A86">
        <v>2026</v>
      </c>
      <c r="B86" t="s">
        <v>18</v>
      </c>
      <c r="C86" t="s">
        <v>1</v>
      </c>
      <c r="D86" s="4" t="s">
        <v>9</v>
      </c>
      <c r="E86" s="3">
        <v>11075.442200000001</v>
      </c>
    </row>
    <row r="87" spans="1:5" hidden="1" x14ac:dyDescent="0.25">
      <c r="A87">
        <v>2026</v>
      </c>
      <c r="B87" t="s">
        <v>18</v>
      </c>
      <c r="C87" t="s">
        <v>3</v>
      </c>
      <c r="D87" s="4" t="s">
        <v>9</v>
      </c>
      <c r="E87" s="3">
        <v>12081.7032</v>
      </c>
    </row>
    <row r="88" spans="1:5" hidden="1" x14ac:dyDescent="0.25">
      <c r="A88">
        <v>2026</v>
      </c>
      <c r="B88" t="s">
        <v>18</v>
      </c>
      <c r="C88" t="s">
        <v>4</v>
      </c>
      <c r="D88" s="4" t="s">
        <v>9</v>
      </c>
      <c r="E88" s="3">
        <v>25183.904999999999</v>
      </c>
    </row>
    <row r="89" spans="1:5" hidden="1" x14ac:dyDescent="0.25">
      <c r="A89">
        <v>2026</v>
      </c>
      <c r="B89" t="s">
        <v>18</v>
      </c>
      <c r="C89" t="s">
        <v>5</v>
      </c>
      <c r="D89" s="4" t="s">
        <v>9</v>
      </c>
      <c r="E89">
        <v>29972.369600000002</v>
      </c>
    </row>
    <row r="90" spans="1:5" hidden="1" x14ac:dyDescent="0.25">
      <c r="A90">
        <v>2026</v>
      </c>
      <c r="B90" t="s">
        <v>18</v>
      </c>
      <c r="C90" t="s">
        <v>7</v>
      </c>
      <c r="D90" s="4" t="s">
        <v>9</v>
      </c>
      <c r="E90" s="3">
        <v>122623.67000000001</v>
      </c>
    </row>
    <row r="91" spans="1:5" hidden="1" x14ac:dyDescent="0.25">
      <c r="A91">
        <v>2026</v>
      </c>
      <c r="B91" t="s">
        <v>18</v>
      </c>
      <c r="C91" t="s">
        <v>8</v>
      </c>
      <c r="D91" s="4" t="s">
        <v>9</v>
      </c>
      <c r="E91" s="3">
        <v>46622.87</v>
      </c>
    </row>
    <row r="92" spans="1:5" hidden="1" x14ac:dyDescent="0.25">
      <c r="A92">
        <v>2026</v>
      </c>
      <c r="B92" t="s">
        <v>18</v>
      </c>
      <c r="C92" t="s">
        <v>1</v>
      </c>
      <c r="D92" s="4" t="s">
        <v>12</v>
      </c>
      <c r="E92" s="3">
        <v>0</v>
      </c>
    </row>
    <row r="93" spans="1:5" hidden="1" x14ac:dyDescent="0.25">
      <c r="A93">
        <v>2026</v>
      </c>
      <c r="B93" t="s">
        <v>18</v>
      </c>
      <c r="C93" t="s">
        <v>3</v>
      </c>
      <c r="D93" s="4" t="s">
        <v>12</v>
      </c>
      <c r="E93" s="3">
        <v>510.22829999999999</v>
      </c>
    </row>
    <row r="94" spans="1:5" hidden="1" x14ac:dyDescent="0.25">
      <c r="A94">
        <v>2026</v>
      </c>
      <c r="B94" t="s">
        <v>18</v>
      </c>
      <c r="C94" t="s">
        <v>4</v>
      </c>
      <c r="D94" s="4" t="s">
        <v>12</v>
      </c>
      <c r="E94" s="3">
        <v>4158.4265999999998</v>
      </c>
    </row>
    <row r="95" spans="1:5" hidden="1" x14ac:dyDescent="0.25">
      <c r="A95">
        <v>2026</v>
      </c>
      <c r="B95" t="s">
        <v>18</v>
      </c>
      <c r="C95" t="s">
        <v>5</v>
      </c>
      <c r="D95" s="4" t="s">
        <v>12</v>
      </c>
      <c r="E95" s="3">
        <v>3154.4038999999998</v>
      </c>
    </row>
    <row r="96" spans="1:5" hidden="1" x14ac:dyDescent="0.25">
      <c r="A96">
        <v>2026</v>
      </c>
      <c r="B96" t="s">
        <v>18</v>
      </c>
      <c r="C96" t="s">
        <v>7</v>
      </c>
      <c r="D96" s="4" t="s">
        <v>12</v>
      </c>
      <c r="E96" s="3">
        <f>4613.5651+20237.739</f>
        <v>24851.304100000001</v>
      </c>
    </row>
    <row r="97" spans="1:5" hidden="1" x14ac:dyDescent="0.25">
      <c r="A97">
        <v>2026</v>
      </c>
      <c r="B97" t="s">
        <v>18</v>
      </c>
      <c r="C97" t="s">
        <v>8</v>
      </c>
      <c r="D97" s="4" t="s">
        <v>12</v>
      </c>
      <c r="E97" s="3">
        <v>46.087000000000003</v>
      </c>
    </row>
    <row r="98" spans="1:5" hidden="1" x14ac:dyDescent="0.25">
      <c r="A98">
        <v>2026</v>
      </c>
      <c r="B98" t="s">
        <v>19</v>
      </c>
      <c r="C98" t="s">
        <v>1</v>
      </c>
      <c r="D98" s="4" t="s">
        <v>10</v>
      </c>
      <c r="E98" s="2">
        <v>76043.719299999633</v>
      </c>
    </row>
    <row r="99" spans="1:5" hidden="1" x14ac:dyDescent="0.25">
      <c r="A99">
        <v>2026</v>
      </c>
      <c r="B99" t="s">
        <v>19</v>
      </c>
      <c r="C99" t="s">
        <v>3</v>
      </c>
      <c r="D99" s="4" t="s">
        <v>10</v>
      </c>
      <c r="E99" s="2">
        <v>94806.232200000159</v>
      </c>
    </row>
    <row r="100" spans="1:5" hidden="1" x14ac:dyDescent="0.25">
      <c r="A100">
        <v>2026</v>
      </c>
      <c r="B100" t="s">
        <v>19</v>
      </c>
      <c r="C100" t="s">
        <v>4</v>
      </c>
      <c r="D100" s="4" t="s">
        <v>10</v>
      </c>
      <c r="E100" s="2">
        <v>154992.7959999984</v>
      </c>
    </row>
    <row r="101" spans="1:5" hidden="1" x14ac:dyDescent="0.25">
      <c r="A101">
        <v>2026</v>
      </c>
      <c r="B101" t="s">
        <v>19</v>
      </c>
      <c r="C101" t="s">
        <v>5</v>
      </c>
      <c r="D101" s="4" t="s">
        <v>10</v>
      </c>
      <c r="E101" s="2">
        <v>282588.31710000057</v>
      </c>
    </row>
    <row r="102" spans="1:5" hidden="1" x14ac:dyDescent="0.25">
      <c r="A102">
        <v>2026</v>
      </c>
      <c r="B102" t="s">
        <v>19</v>
      </c>
      <c r="C102" t="s">
        <v>7</v>
      </c>
      <c r="D102" s="4" t="s">
        <v>10</v>
      </c>
      <c r="E102" s="3">
        <v>755337.35</v>
      </c>
    </row>
    <row r="103" spans="1:5" hidden="1" x14ac:dyDescent="0.25">
      <c r="A103">
        <v>2026</v>
      </c>
      <c r="B103" t="s">
        <v>19</v>
      </c>
      <c r="C103" t="s">
        <v>8</v>
      </c>
      <c r="D103" s="4" t="s">
        <v>10</v>
      </c>
      <c r="E103" s="3">
        <v>232957.97</v>
      </c>
    </row>
    <row r="104" spans="1:5" hidden="1" x14ac:dyDescent="0.25">
      <c r="A104">
        <v>2026</v>
      </c>
      <c r="B104" t="s">
        <v>19</v>
      </c>
      <c r="C104" t="s">
        <v>1</v>
      </c>
      <c r="D104" s="4" t="s">
        <v>11</v>
      </c>
      <c r="E104" s="2">
        <f>72670.1795999994-2413.63+1079.09</f>
        <v>71335.639599999398</v>
      </c>
    </row>
    <row r="105" spans="1:5" hidden="1" x14ac:dyDescent="0.25">
      <c r="A105">
        <v>2026</v>
      </c>
      <c r="B105" t="s">
        <v>19</v>
      </c>
      <c r="C105" t="s">
        <v>3</v>
      </c>
      <c r="D105" s="4" t="s">
        <v>11</v>
      </c>
      <c r="E105" s="2">
        <f>87920.3956000001-9521.4+25.84</f>
        <v>78424.835600000108</v>
      </c>
    </row>
    <row r="106" spans="1:5" hidden="1" x14ac:dyDescent="0.25">
      <c r="A106">
        <v>2026</v>
      </c>
      <c r="B106" t="s">
        <v>19</v>
      </c>
      <c r="C106" t="s">
        <v>4</v>
      </c>
      <c r="D106" s="4" t="s">
        <v>11</v>
      </c>
      <c r="E106" s="2">
        <f>131070.603100009-36526.32+10106.696</f>
        <v>104650.97910000899</v>
      </c>
    </row>
    <row r="107" spans="1:5" hidden="1" x14ac:dyDescent="0.25">
      <c r="A107">
        <v>2026</v>
      </c>
      <c r="B107" t="s">
        <v>19</v>
      </c>
      <c r="C107" t="s">
        <v>5</v>
      </c>
      <c r="D107" s="4" t="s">
        <v>11</v>
      </c>
      <c r="E107" s="2">
        <f>268370.812400003-79540.2+318.25</f>
        <v>189148.86240000301</v>
      </c>
    </row>
    <row r="108" spans="1:5" hidden="1" x14ac:dyDescent="0.25">
      <c r="A108">
        <v>2026</v>
      </c>
      <c r="B108" t="s">
        <v>19</v>
      </c>
      <c r="C108" t="s">
        <v>7</v>
      </c>
      <c r="D108" s="4" t="s">
        <v>11</v>
      </c>
      <c r="E108" s="2">
        <f>811435.57-273606.19-12.96</f>
        <v>537816.41999999993</v>
      </c>
    </row>
    <row r="109" spans="1:5" hidden="1" x14ac:dyDescent="0.25">
      <c r="A109">
        <v>2026</v>
      </c>
      <c r="B109" t="s">
        <v>19</v>
      </c>
      <c r="C109" t="s">
        <v>8</v>
      </c>
      <c r="D109" s="4" t="s">
        <v>11</v>
      </c>
      <c r="E109" s="3">
        <v>185918.23</v>
      </c>
    </row>
    <row r="110" spans="1:5" hidden="1" x14ac:dyDescent="0.25">
      <c r="A110">
        <v>2026</v>
      </c>
      <c r="B110" t="s">
        <v>19</v>
      </c>
      <c r="C110" t="s">
        <v>1</v>
      </c>
      <c r="D110" s="4" t="s">
        <v>9</v>
      </c>
      <c r="E110" s="3">
        <v>13345.494999999999</v>
      </c>
    </row>
    <row r="111" spans="1:5" hidden="1" x14ac:dyDescent="0.25">
      <c r="A111">
        <v>2026</v>
      </c>
      <c r="B111" t="s">
        <v>19</v>
      </c>
      <c r="C111" t="s">
        <v>3</v>
      </c>
      <c r="D111" s="4" t="s">
        <v>9</v>
      </c>
      <c r="E111" s="3">
        <v>14643.776</v>
      </c>
    </row>
    <row r="112" spans="1:5" hidden="1" x14ac:dyDescent="0.25">
      <c r="A112">
        <v>2026</v>
      </c>
      <c r="B112" t="s">
        <v>19</v>
      </c>
      <c r="C112" t="s">
        <v>4</v>
      </c>
      <c r="D112" s="4" t="s">
        <v>9</v>
      </c>
      <c r="E112" s="3">
        <v>28558.537500000002</v>
      </c>
    </row>
    <row r="113" spans="1:9" hidden="1" x14ac:dyDescent="0.25">
      <c r="A113">
        <v>2026</v>
      </c>
      <c r="B113" t="s">
        <v>19</v>
      </c>
      <c r="C113" t="s">
        <v>5</v>
      </c>
      <c r="D113" s="4" t="s">
        <v>9</v>
      </c>
      <c r="E113">
        <v>37499.223299999998</v>
      </c>
    </row>
    <row r="114" spans="1:9" hidden="1" x14ac:dyDescent="0.25">
      <c r="A114">
        <v>2026</v>
      </c>
      <c r="B114" t="s">
        <v>19</v>
      </c>
      <c r="C114" t="s">
        <v>7</v>
      </c>
      <c r="D114" s="4" t="s">
        <v>9</v>
      </c>
      <c r="E114" s="3">
        <v>138750.47</v>
      </c>
    </row>
    <row r="115" spans="1:9" hidden="1" x14ac:dyDescent="0.25">
      <c r="A115">
        <v>2026</v>
      </c>
      <c r="B115" t="s">
        <v>19</v>
      </c>
      <c r="C115" t="s">
        <v>8</v>
      </c>
      <c r="D115" s="4" t="s">
        <v>9</v>
      </c>
      <c r="E115" s="3">
        <v>44182.25</v>
      </c>
    </row>
    <row r="116" spans="1:9" hidden="1" x14ac:dyDescent="0.25">
      <c r="A116">
        <v>2026</v>
      </c>
      <c r="B116" t="s">
        <v>19</v>
      </c>
      <c r="C116" t="s">
        <v>1</v>
      </c>
      <c r="D116" s="4" t="s">
        <v>12</v>
      </c>
      <c r="E116" s="3">
        <v>0</v>
      </c>
    </row>
    <row r="117" spans="1:9" hidden="1" x14ac:dyDescent="0.25">
      <c r="A117">
        <v>2026</v>
      </c>
      <c r="B117" t="s">
        <v>19</v>
      </c>
      <c r="C117" t="s">
        <v>3</v>
      </c>
      <c r="D117" s="4" t="s">
        <v>12</v>
      </c>
      <c r="E117" s="3">
        <v>461.7826</v>
      </c>
    </row>
    <row r="118" spans="1:9" hidden="1" x14ac:dyDescent="0.25">
      <c r="A118">
        <v>2026</v>
      </c>
      <c r="B118" t="s">
        <v>19</v>
      </c>
      <c r="C118" t="s">
        <v>4</v>
      </c>
      <c r="D118" s="4" t="s">
        <v>12</v>
      </c>
      <c r="E118" s="3">
        <v>2688.0174000000006</v>
      </c>
    </row>
    <row r="119" spans="1:9" hidden="1" x14ac:dyDescent="0.25">
      <c r="A119">
        <v>2026</v>
      </c>
      <c r="B119" t="s">
        <v>19</v>
      </c>
      <c r="C119" t="s">
        <v>5</v>
      </c>
      <c r="D119" s="4" t="s">
        <v>12</v>
      </c>
      <c r="E119" s="3">
        <v>12739.311400000001</v>
      </c>
    </row>
    <row r="120" spans="1:9" hidden="1" x14ac:dyDescent="0.25">
      <c r="A120">
        <v>2026</v>
      </c>
      <c r="B120" t="s">
        <v>19</v>
      </c>
      <c r="C120" t="s">
        <v>7</v>
      </c>
      <c r="D120" s="4" t="s">
        <v>12</v>
      </c>
      <c r="E120" s="3">
        <v>23679.965400000001</v>
      </c>
    </row>
    <row r="121" spans="1:9" hidden="1" x14ac:dyDescent="0.25">
      <c r="A121">
        <v>2026</v>
      </c>
      <c r="B121" t="s">
        <v>19</v>
      </c>
      <c r="C121" t="s">
        <v>8</v>
      </c>
      <c r="D121" s="4" t="s">
        <v>12</v>
      </c>
      <c r="E121" s="3">
        <v>0</v>
      </c>
    </row>
    <row r="122" spans="1:9" hidden="1" x14ac:dyDescent="0.25">
      <c r="A122">
        <v>2026</v>
      </c>
      <c r="B122" t="s">
        <v>20</v>
      </c>
      <c r="C122" t="s">
        <v>1</v>
      </c>
      <c r="D122" s="4" t="s">
        <v>10</v>
      </c>
      <c r="E122" s="2">
        <v>77220.153899998884</v>
      </c>
    </row>
    <row r="123" spans="1:9" hidden="1" x14ac:dyDescent="0.25">
      <c r="A123">
        <v>2026</v>
      </c>
      <c r="B123" t="s">
        <v>20</v>
      </c>
      <c r="C123" t="s">
        <v>3</v>
      </c>
      <c r="D123" s="4" t="s">
        <v>10</v>
      </c>
      <c r="E123" s="2">
        <v>86121.755500000174</v>
      </c>
    </row>
    <row r="124" spans="1:9" hidden="1" x14ac:dyDescent="0.25">
      <c r="A124">
        <v>2026</v>
      </c>
      <c r="B124" t="s">
        <v>20</v>
      </c>
      <c r="C124" t="s">
        <v>4</v>
      </c>
      <c r="D124" s="4" t="s">
        <v>10</v>
      </c>
      <c r="E124" s="2">
        <v>173324.40840000182</v>
      </c>
    </row>
    <row r="125" spans="1:9" hidden="1" x14ac:dyDescent="0.25">
      <c r="A125">
        <v>2026</v>
      </c>
      <c r="B125" t="s">
        <v>20</v>
      </c>
      <c r="C125" t="s">
        <v>5</v>
      </c>
      <c r="D125" s="4" t="s">
        <v>10</v>
      </c>
      <c r="E125" s="2">
        <v>209302.24539999786</v>
      </c>
    </row>
    <row r="126" spans="1:9" hidden="1" x14ac:dyDescent="0.25">
      <c r="A126">
        <v>2026</v>
      </c>
      <c r="B126" t="s">
        <v>20</v>
      </c>
      <c r="C126" t="s">
        <v>7</v>
      </c>
      <c r="D126" s="4" t="s">
        <v>10</v>
      </c>
      <c r="E126" s="3">
        <v>738553.74</v>
      </c>
      <c r="H126" s="1"/>
      <c r="I126" s="2"/>
    </row>
    <row r="127" spans="1:9" hidden="1" x14ac:dyDescent="0.25">
      <c r="A127">
        <v>2026</v>
      </c>
      <c r="B127" t="s">
        <v>20</v>
      </c>
      <c r="C127" t="s">
        <v>8</v>
      </c>
      <c r="D127" s="4" t="s">
        <v>10</v>
      </c>
      <c r="E127" s="3">
        <v>229993.37</v>
      </c>
      <c r="H127" s="1"/>
      <c r="I127" s="2"/>
    </row>
    <row r="128" spans="1:9" hidden="1" x14ac:dyDescent="0.25">
      <c r="A128">
        <v>2026</v>
      </c>
      <c r="B128" t="s">
        <v>20</v>
      </c>
      <c r="C128" t="s">
        <v>1</v>
      </c>
      <c r="D128" s="4" t="s">
        <v>11</v>
      </c>
      <c r="E128" s="2">
        <f>73932.2719999996-8979.31+264.19</f>
        <v>65217.151999999609</v>
      </c>
      <c r="H128" s="1"/>
      <c r="I128" s="2"/>
    </row>
    <row r="129" spans="1:9" hidden="1" x14ac:dyDescent="0.25">
      <c r="A129">
        <v>2026</v>
      </c>
      <c r="B129" t="s">
        <v>20</v>
      </c>
      <c r="C129" t="s">
        <v>3</v>
      </c>
      <c r="D129" s="4" t="s">
        <v>11</v>
      </c>
      <c r="E129" s="2">
        <f>80032.4472999985-8691.11-3.59</f>
        <v>71337.747299998504</v>
      </c>
      <c r="H129" s="1"/>
      <c r="I129" s="2"/>
    </row>
    <row r="130" spans="1:9" hidden="1" x14ac:dyDescent="0.25">
      <c r="A130">
        <v>2026</v>
      </c>
      <c r="B130" t="s">
        <v>20</v>
      </c>
      <c r="C130" t="s">
        <v>4</v>
      </c>
      <c r="D130" s="4" t="s">
        <v>11</v>
      </c>
      <c r="E130" s="2">
        <f>147483.638600009-11744.89</f>
        <v>135738.74860000901</v>
      </c>
      <c r="H130" s="1"/>
      <c r="I130" s="2"/>
    </row>
    <row r="131" spans="1:9" hidden="1" x14ac:dyDescent="0.25">
      <c r="A131">
        <v>2026</v>
      </c>
      <c r="B131" t="s">
        <v>20</v>
      </c>
      <c r="C131" t="s">
        <v>5</v>
      </c>
      <c r="D131" s="4" t="s">
        <v>11</v>
      </c>
      <c r="E131" s="2">
        <f>197212.4693-45781.1+344.18</f>
        <v>151775.54929999998</v>
      </c>
      <c r="H131" s="1"/>
      <c r="I131" s="2"/>
    </row>
    <row r="132" spans="1:9" hidden="1" x14ac:dyDescent="0.25">
      <c r="A132">
        <v>2026</v>
      </c>
      <c r="B132" t="s">
        <v>20</v>
      </c>
      <c r="C132" t="s">
        <v>7</v>
      </c>
      <c r="D132" s="4" t="s">
        <v>11</v>
      </c>
      <c r="E132" s="2">
        <f>966200.57-242195.89-181913.22-8.42</f>
        <v>542083.03999999992</v>
      </c>
      <c r="H132" s="1"/>
      <c r="I132" s="2"/>
    </row>
    <row r="133" spans="1:9" hidden="1" x14ac:dyDescent="0.25">
      <c r="A133">
        <v>2026</v>
      </c>
      <c r="B133" t="s">
        <v>20</v>
      </c>
      <c r="C133" t="s">
        <v>8</v>
      </c>
      <c r="D133" s="4" t="s">
        <v>11</v>
      </c>
      <c r="E133" s="3">
        <v>181913.22</v>
      </c>
    </row>
    <row r="134" spans="1:9" hidden="1" x14ac:dyDescent="0.25">
      <c r="A134">
        <v>2026</v>
      </c>
      <c r="B134" t="s">
        <v>20</v>
      </c>
      <c r="C134" t="s">
        <v>1</v>
      </c>
      <c r="D134" s="4" t="s">
        <v>9</v>
      </c>
      <c r="E134" s="3">
        <f>5278.1482+7596.2</f>
        <v>12874.3482</v>
      </c>
    </row>
    <row r="135" spans="1:9" hidden="1" x14ac:dyDescent="0.25">
      <c r="A135">
        <v>2026</v>
      </c>
      <c r="B135" t="s">
        <v>20</v>
      </c>
      <c r="C135" t="s">
        <v>3</v>
      </c>
      <c r="D135" s="4" t="s">
        <v>9</v>
      </c>
      <c r="E135" s="3">
        <f>4872.1368+9115.44</f>
        <v>13987.576800000001</v>
      </c>
    </row>
    <row r="136" spans="1:9" hidden="1" x14ac:dyDescent="0.25">
      <c r="A136">
        <v>2026</v>
      </c>
      <c r="B136" t="s">
        <v>20</v>
      </c>
      <c r="C136" t="s">
        <v>4</v>
      </c>
      <c r="D136" s="4" t="s">
        <v>9</v>
      </c>
      <c r="E136" s="3">
        <v>30450.855</v>
      </c>
    </row>
    <row r="137" spans="1:9" hidden="1" x14ac:dyDescent="0.25">
      <c r="A137">
        <v>2026</v>
      </c>
      <c r="B137" t="s">
        <v>20</v>
      </c>
      <c r="C137" t="s">
        <v>5</v>
      </c>
      <c r="D137" s="4" t="s">
        <v>9</v>
      </c>
      <c r="E137" s="3">
        <f>50641.34*0.67</f>
        <v>33929.697800000002</v>
      </c>
    </row>
    <row r="138" spans="1:9" hidden="1" x14ac:dyDescent="0.25">
      <c r="A138">
        <v>2026</v>
      </c>
      <c r="B138" t="s">
        <v>20</v>
      </c>
      <c r="C138" t="s">
        <v>7</v>
      </c>
      <c r="D138" s="4" t="s">
        <v>9</v>
      </c>
      <c r="E138" s="3">
        <f>116240.28+52614.97</f>
        <v>168855.25</v>
      </c>
    </row>
    <row r="139" spans="1:9" hidden="1" x14ac:dyDescent="0.25">
      <c r="A139">
        <v>2026</v>
      </c>
      <c r="B139" t="s">
        <v>20</v>
      </c>
      <c r="C139" t="s">
        <v>8</v>
      </c>
      <c r="D139" s="4" t="s">
        <v>9</v>
      </c>
      <c r="E139" s="3">
        <v>46098.47</v>
      </c>
    </row>
    <row r="140" spans="1:9" hidden="1" x14ac:dyDescent="0.25">
      <c r="A140">
        <v>2026</v>
      </c>
      <c r="B140" t="s">
        <v>20</v>
      </c>
      <c r="C140" t="s">
        <v>1</v>
      </c>
      <c r="D140" s="4" t="s">
        <v>12</v>
      </c>
      <c r="E140" s="3">
        <v>0</v>
      </c>
    </row>
    <row r="141" spans="1:9" hidden="1" x14ac:dyDescent="0.25">
      <c r="A141">
        <v>2026</v>
      </c>
      <c r="B141" t="s">
        <v>20</v>
      </c>
      <c r="C141" t="s">
        <v>3</v>
      </c>
      <c r="D141" s="4" t="s">
        <v>12</v>
      </c>
      <c r="E141" s="3">
        <v>567.72</v>
      </c>
    </row>
    <row r="142" spans="1:9" hidden="1" x14ac:dyDescent="0.25">
      <c r="A142">
        <v>2026</v>
      </c>
      <c r="B142" t="s">
        <v>20</v>
      </c>
      <c r="C142" t="s">
        <v>4</v>
      </c>
      <c r="D142" s="4" t="s">
        <v>12</v>
      </c>
      <c r="E142" s="3">
        <v>5096.16</v>
      </c>
    </row>
    <row r="143" spans="1:9" hidden="1" x14ac:dyDescent="0.25">
      <c r="A143">
        <v>2026</v>
      </c>
      <c r="B143" t="s">
        <v>20</v>
      </c>
      <c r="C143" t="s">
        <v>5</v>
      </c>
      <c r="D143" s="4" t="s">
        <v>12</v>
      </c>
      <c r="E143" s="3">
        <v>1616.03</v>
      </c>
    </row>
    <row r="144" spans="1:9" hidden="1" x14ac:dyDescent="0.25">
      <c r="A144">
        <v>2026</v>
      </c>
      <c r="B144" t="s">
        <v>20</v>
      </c>
      <c r="C144" t="s">
        <v>7</v>
      </c>
      <c r="D144" s="4" t="s">
        <v>12</v>
      </c>
      <c r="E144" s="3">
        <v>25567.72</v>
      </c>
    </row>
    <row r="145" spans="1:8" hidden="1" x14ac:dyDescent="0.25">
      <c r="A145">
        <v>2026</v>
      </c>
      <c r="B145" t="s">
        <v>20</v>
      </c>
      <c r="C145" t="s">
        <v>8</v>
      </c>
      <c r="D145" s="4" t="s">
        <v>12</v>
      </c>
      <c r="E145" s="3">
        <v>0</v>
      </c>
    </row>
    <row r="146" spans="1:8" hidden="1" x14ac:dyDescent="0.25">
      <c r="A146">
        <v>2026</v>
      </c>
      <c r="B146" t="s">
        <v>21</v>
      </c>
      <c r="C146" t="s">
        <v>1</v>
      </c>
      <c r="D146" s="4" t="s">
        <v>10</v>
      </c>
      <c r="E146" s="2">
        <v>89361.818099997603</v>
      </c>
    </row>
    <row r="147" spans="1:8" hidden="1" x14ac:dyDescent="0.25">
      <c r="A147">
        <v>2026</v>
      </c>
      <c r="B147" t="s">
        <v>21</v>
      </c>
      <c r="C147" t="s">
        <v>3</v>
      </c>
      <c r="D147" s="4" t="s">
        <v>10</v>
      </c>
      <c r="E147" s="2">
        <v>107441.32280000077</v>
      </c>
    </row>
    <row r="148" spans="1:8" hidden="1" x14ac:dyDescent="0.25">
      <c r="A148">
        <v>2026</v>
      </c>
      <c r="B148" t="s">
        <v>21</v>
      </c>
      <c r="C148" t="s">
        <v>4</v>
      </c>
      <c r="D148" s="4" t="s">
        <v>10</v>
      </c>
      <c r="E148" s="2">
        <v>156941.63610000053</v>
      </c>
      <c r="G148" s="1"/>
      <c r="H148" s="2"/>
    </row>
    <row r="149" spans="1:8" hidden="1" x14ac:dyDescent="0.25">
      <c r="A149">
        <v>2026</v>
      </c>
      <c r="B149" t="s">
        <v>21</v>
      </c>
      <c r="C149" t="s">
        <v>5</v>
      </c>
      <c r="D149" s="4" t="s">
        <v>10</v>
      </c>
      <c r="E149" s="2">
        <v>300541.28849999339</v>
      </c>
      <c r="G149" s="1"/>
      <c r="H149" s="2"/>
    </row>
    <row r="150" spans="1:8" hidden="1" x14ac:dyDescent="0.25">
      <c r="A150">
        <v>2026</v>
      </c>
      <c r="B150" t="s">
        <v>21</v>
      </c>
      <c r="C150" t="s">
        <v>7</v>
      </c>
      <c r="D150" s="4" t="s">
        <v>10</v>
      </c>
      <c r="E150" s="3">
        <v>735562.24890000001</v>
      </c>
      <c r="G150" s="1"/>
      <c r="H150" s="2"/>
    </row>
    <row r="151" spans="1:8" hidden="1" x14ac:dyDescent="0.25">
      <c r="A151">
        <v>2026</v>
      </c>
      <c r="B151" t="s">
        <v>21</v>
      </c>
      <c r="C151" t="s">
        <v>8</v>
      </c>
      <c r="D151" s="4" t="s">
        <v>10</v>
      </c>
      <c r="E151" s="3">
        <v>258712.74</v>
      </c>
      <c r="G151" s="1"/>
      <c r="H151" s="2"/>
    </row>
    <row r="152" spans="1:8" hidden="1" x14ac:dyDescent="0.25">
      <c r="A152">
        <v>2026</v>
      </c>
      <c r="B152" t="s">
        <v>21</v>
      </c>
      <c r="C152" t="s">
        <v>1</v>
      </c>
      <c r="D152" s="4" t="s">
        <v>11</v>
      </c>
      <c r="E152" s="2">
        <f>85514.9025000008-2051.87+7009.76</f>
        <v>90472.792500000796</v>
      </c>
      <c r="G152" s="1"/>
      <c r="H152" s="2"/>
    </row>
    <row r="153" spans="1:8" hidden="1" x14ac:dyDescent="0.25">
      <c r="A153">
        <v>2026</v>
      </c>
      <c r="B153" t="s">
        <v>21</v>
      </c>
      <c r="C153" t="s">
        <v>3</v>
      </c>
      <c r="D153" s="4" t="s">
        <v>11</v>
      </c>
      <c r="E153" s="2">
        <f>99497.654699998-7755.66</f>
        <v>91741.994699998002</v>
      </c>
      <c r="G153" s="1"/>
      <c r="H153" s="2"/>
    </row>
    <row r="154" spans="1:8" hidden="1" x14ac:dyDescent="0.25">
      <c r="A154">
        <v>2026</v>
      </c>
      <c r="B154" t="s">
        <v>21</v>
      </c>
      <c r="C154" t="s">
        <v>4</v>
      </c>
      <c r="D154" s="4" t="s">
        <v>11</v>
      </c>
      <c r="E154" s="2">
        <f>133111.68850001-23797.07+10541.21</f>
        <v>119855.82850000999</v>
      </c>
    </row>
    <row r="155" spans="1:8" hidden="1" x14ac:dyDescent="0.25">
      <c r="A155">
        <v>2026</v>
      </c>
      <c r="B155" t="s">
        <v>21</v>
      </c>
      <c r="C155" t="s">
        <v>5</v>
      </c>
      <c r="D155" s="4" t="s">
        <v>11</v>
      </c>
      <c r="E155" s="2">
        <f>293303.587300007-20012.89</f>
        <v>273290.69730000698</v>
      </c>
    </row>
    <row r="156" spans="1:8" hidden="1" x14ac:dyDescent="0.25">
      <c r="A156">
        <v>2026</v>
      </c>
      <c r="B156" t="s">
        <v>21</v>
      </c>
      <c r="C156" t="s">
        <v>7</v>
      </c>
      <c r="D156" s="4" t="s">
        <v>11</v>
      </c>
      <c r="E156" s="2">
        <f>781973.7445-222891.95-39.95</f>
        <v>559041.84450000012</v>
      </c>
    </row>
    <row r="157" spans="1:8" hidden="1" x14ac:dyDescent="0.25">
      <c r="A157">
        <v>2026</v>
      </c>
      <c r="B157" t="s">
        <v>21</v>
      </c>
      <c r="C157" t="s">
        <v>8</v>
      </c>
      <c r="D157" s="4" t="s">
        <v>11</v>
      </c>
      <c r="E157" s="3">
        <v>212372.49</v>
      </c>
    </row>
    <row r="158" spans="1:8" hidden="1" x14ac:dyDescent="0.25">
      <c r="A158">
        <v>2026</v>
      </c>
      <c r="B158" t="s">
        <v>21</v>
      </c>
      <c r="C158" t="s">
        <v>1</v>
      </c>
      <c r="D158" s="4" t="s">
        <v>9</v>
      </c>
      <c r="E158" s="3">
        <v>12777.495299999999</v>
      </c>
    </row>
    <row r="159" spans="1:8" hidden="1" x14ac:dyDescent="0.25">
      <c r="A159">
        <v>2026</v>
      </c>
      <c r="B159" t="s">
        <v>21</v>
      </c>
      <c r="C159" t="s">
        <v>3</v>
      </c>
      <c r="D159" s="4" t="s">
        <v>9</v>
      </c>
      <c r="E159" s="3">
        <v>13841.474399999999</v>
      </c>
    </row>
    <row r="160" spans="1:8" hidden="1" x14ac:dyDescent="0.25">
      <c r="A160">
        <v>2026</v>
      </c>
      <c r="B160" t="s">
        <v>21</v>
      </c>
      <c r="C160" t="s">
        <v>4</v>
      </c>
      <c r="D160" s="4" t="s">
        <v>9</v>
      </c>
      <c r="E160" s="3">
        <v>31073.3325</v>
      </c>
    </row>
    <row r="161" spans="1:9" hidden="1" x14ac:dyDescent="0.25">
      <c r="A161">
        <v>2026</v>
      </c>
      <c r="B161" t="s">
        <v>21</v>
      </c>
      <c r="C161" t="s">
        <v>5</v>
      </c>
      <c r="D161" s="4" t="s">
        <v>9</v>
      </c>
      <c r="E161" s="3">
        <v>33015.147799999999</v>
      </c>
    </row>
    <row r="162" spans="1:9" hidden="1" x14ac:dyDescent="0.25">
      <c r="A162">
        <v>2026</v>
      </c>
      <c r="B162" t="s">
        <v>21</v>
      </c>
      <c r="C162" t="s">
        <v>7</v>
      </c>
      <c r="D162" s="4" t="s">
        <v>9</v>
      </c>
      <c r="E162" s="3">
        <v>131765.28</v>
      </c>
    </row>
    <row r="163" spans="1:9" hidden="1" x14ac:dyDescent="0.25">
      <c r="A163">
        <v>2026</v>
      </c>
      <c r="B163" t="s">
        <v>21</v>
      </c>
      <c r="C163" t="s">
        <v>8</v>
      </c>
      <c r="D163" s="4" t="s">
        <v>9</v>
      </c>
      <c r="E163" s="3">
        <v>52245.279999999999</v>
      </c>
    </row>
    <row r="164" spans="1:9" hidden="1" x14ac:dyDescent="0.25">
      <c r="A164">
        <v>2026</v>
      </c>
      <c r="B164" t="s">
        <v>21</v>
      </c>
      <c r="C164" t="s">
        <v>1</v>
      </c>
      <c r="D164" s="4" t="s">
        <v>12</v>
      </c>
      <c r="E164" s="3">
        <v>0</v>
      </c>
      <c r="F164" s="1"/>
    </row>
    <row r="165" spans="1:9" hidden="1" x14ac:dyDescent="0.25">
      <c r="A165">
        <v>2026</v>
      </c>
      <c r="B165" t="s">
        <v>21</v>
      </c>
      <c r="C165" t="s">
        <v>3</v>
      </c>
      <c r="D165" s="4" t="s">
        <v>12</v>
      </c>
      <c r="E165" s="3">
        <v>491.62270000000001</v>
      </c>
      <c r="F165" s="1"/>
    </row>
    <row r="166" spans="1:9" hidden="1" x14ac:dyDescent="0.25">
      <c r="A166">
        <v>2026</v>
      </c>
      <c r="B166" t="s">
        <v>21</v>
      </c>
      <c r="C166" t="s">
        <v>4</v>
      </c>
      <c r="D166" s="4" t="s">
        <v>12</v>
      </c>
      <c r="E166" s="3">
        <v>4017.9479999999999</v>
      </c>
      <c r="F166" s="1"/>
    </row>
    <row r="167" spans="1:9" hidden="1" x14ac:dyDescent="0.25">
      <c r="A167">
        <v>2026</v>
      </c>
      <c r="B167" t="s">
        <v>21</v>
      </c>
      <c r="C167" t="s">
        <v>5</v>
      </c>
      <c r="D167" s="4" t="s">
        <v>12</v>
      </c>
      <c r="E167" s="3">
        <v>0</v>
      </c>
      <c r="F167" s="1"/>
    </row>
    <row r="168" spans="1:9" hidden="1" x14ac:dyDescent="0.25">
      <c r="A168">
        <v>2026</v>
      </c>
      <c r="B168" t="s">
        <v>21</v>
      </c>
      <c r="C168" t="s">
        <v>7</v>
      </c>
      <c r="D168" s="4" t="s">
        <v>12</v>
      </c>
      <c r="E168" s="3">
        <v>27911.695899999992</v>
      </c>
    </row>
    <row r="169" spans="1:9" hidden="1" x14ac:dyDescent="0.25">
      <c r="A169">
        <v>2026</v>
      </c>
      <c r="B169" t="s">
        <v>21</v>
      </c>
      <c r="C169" t="s">
        <v>8</v>
      </c>
      <c r="D169" s="4" t="s">
        <v>12</v>
      </c>
      <c r="E169" s="3">
        <v>0</v>
      </c>
    </row>
    <row r="170" spans="1:9" x14ac:dyDescent="0.25">
      <c r="A170">
        <v>2026</v>
      </c>
      <c r="B170" t="s">
        <v>22</v>
      </c>
      <c r="C170" t="s">
        <v>1</v>
      </c>
      <c r="D170" s="4" t="s">
        <v>10</v>
      </c>
      <c r="E170">
        <v>89294.430899997707</v>
      </c>
      <c r="G170" s="2"/>
      <c r="I170" s="5"/>
    </row>
    <row r="171" spans="1:9" x14ac:dyDescent="0.25">
      <c r="A171">
        <v>2026</v>
      </c>
      <c r="B171" t="s">
        <v>22</v>
      </c>
      <c r="C171" t="s">
        <v>3</v>
      </c>
      <c r="D171" s="4" t="s">
        <v>10</v>
      </c>
      <c r="E171" s="2">
        <v>66205.881700000071</v>
      </c>
      <c r="I171" s="5"/>
    </row>
    <row r="172" spans="1:9" x14ac:dyDescent="0.25">
      <c r="A172">
        <v>2026</v>
      </c>
      <c r="B172" t="s">
        <v>22</v>
      </c>
      <c r="C172" t="s">
        <v>4</v>
      </c>
      <c r="D172" s="4" t="s">
        <v>10</v>
      </c>
      <c r="E172" s="2">
        <v>161519.20409999863</v>
      </c>
      <c r="I172" s="5"/>
    </row>
    <row r="173" spans="1:9" x14ac:dyDescent="0.25">
      <c r="A173">
        <v>2026</v>
      </c>
      <c r="B173" t="s">
        <v>22</v>
      </c>
      <c r="C173" t="s">
        <v>5</v>
      </c>
      <c r="D173" s="4" t="s">
        <v>10</v>
      </c>
      <c r="E173" s="2">
        <v>322825.49869999144</v>
      </c>
      <c r="I173" s="5"/>
    </row>
    <row r="174" spans="1:9" x14ac:dyDescent="0.25">
      <c r="A174">
        <v>2026</v>
      </c>
      <c r="B174" t="s">
        <v>22</v>
      </c>
      <c r="C174" t="s">
        <v>7</v>
      </c>
      <c r="D174" s="4" t="s">
        <v>10</v>
      </c>
      <c r="E174" s="3">
        <v>766707.91500000004</v>
      </c>
      <c r="I174" s="5"/>
    </row>
    <row r="175" spans="1:9" x14ac:dyDescent="0.25">
      <c r="A175">
        <v>2026</v>
      </c>
      <c r="B175" t="s">
        <v>22</v>
      </c>
      <c r="C175" t="s">
        <v>8</v>
      </c>
      <c r="D175" s="4" t="s">
        <v>10</v>
      </c>
      <c r="E175" s="3">
        <v>251823.96</v>
      </c>
      <c r="I175" s="5"/>
    </row>
    <row r="176" spans="1:9" x14ac:dyDescent="0.25">
      <c r="A176">
        <v>2026</v>
      </c>
      <c r="B176" t="s">
        <v>22</v>
      </c>
      <c r="C176" t="s">
        <v>1</v>
      </c>
      <c r="D176" s="4" t="s">
        <v>11</v>
      </c>
      <c r="E176" s="2">
        <v>84178.304800000013</v>
      </c>
    </row>
    <row r="177" spans="1:6" x14ac:dyDescent="0.25">
      <c r="A177">
        <v>2026</v>
      </c>
      <c r="B177" t="s">
        <v>22</v>
      </c>
      <c r="C177" t="s">
        <v>3</v>
      </c>
      <c r="D177" s="4" t="s">
        <v>11</v>
      </c>
      <c r="E177" s="2">
        <v>50958.239000000001</v>
      </c>
    </row>
    <row r="178" spans="1:6" x14ac:dyDescent="0.25">
      <c r="A178">
        <v>2026</v>
      </c>
      <c r="B178" t="s">
        <v>22</v>
      </c>
      <c r="C178" t="s">
        <v>4</v>
      </c>
      <c r="D178" s="4" t="s">
        <v>11</v>
      </c>
      <c r="E178" s="2">
        <v>127581.61459999997</v>
      </c>
    </row>
    <row r="179" spans="1:6" x14ac:dyDescent="0.25">
      <c r="A179">
        <v>2026</v>
      </c>
      <c r="B179" t="s">
        <v>22</v>
      </c>
      <c r="C179" t="s">
        <v>5</v>
      </c>
      <c r="D179" s="4" t="s">
        <v>11</v>
      </c>
      <c r="E179" s="2">
        <v>275343.95340001601</v>
      </c>
      <c r="F179" s="2"/>
    </row>
    <row r="180" spans="1:6" x14ac:dyDescent="0.25">
      <c r="A180">
        <v>2026</v>
      </c>
      <c r="B180" t="s">
        <v>22</v>
      </c>
      <c r="C180" t="s">
        <v>7</v>
      </c>
      <c r="D180" s="4" t="s">
        <v>11</v>
      </c>
      <c r="E180" s="2">
        <v>593254.59900000005</v>
      </c>
    </row>
    <row r="181" spans="1:6" x14ac:dyDescent="0.25">
      <c r="A181">
        <v>2026</v>
      </c>
      <c r="B181" t="s">
        <v>22</v>
      </c>
      <c r="C181" t="s">
        <v>8</v>
      </c>
      <c r="D181" s="4" t="s">
        <v>11</v>
      </c>
      <c r="E181" s="3">
        <v>202194.79</v>
      </c>
    </row>
    <row r="182" spans="1:6" x14ac:dyDescent="0.25">
      <c r="A182">
        <v>2026</v>
      </c>
      <c r="B182" t="s">
        <v>22</v>
      </c>
      <c r="C182" t="s">
        <v>1</v>
      </c>
      <c r="D182" s="4" t="s">
        <v>9</v>
      </c>
      <c r="E182">
        <v>12130.191999999999</v>
      </c>
    </row>
    <row r="183" spans="1:6" x14ac:dyDescent="0.25">
      <c r="A183">
        <v>2026</v>
      </c>
      <c r="B183" t="s">
        <v>22</v>
      </c>
      <c r="C183" t="s">
        <v>3</v>
      </c>
      <c r="D183" s="4" t="s">
        <v>9</v>
      </c>
      <c r="E183" s="3">
        <v>13187.980199999998</v>
      </c>
    </row>
    <row r="184" spans="1:6" x14ac:dyDescent="0.25">
      <c r="A184">
        <v>2026</v>
      </c>
      <c r="B184" t="s">
        <v>22</v>
      </c>
      <c r="C184" t="s">
        <v>4</v>
      </c>
      <c r="D184" s="4" t="s">
        <v>9</v>
      </c>
      <c r="E184" s="3">
        <v>28505.212499999998</v>
      </c>
    </row>
    <row r="185" spans="1:6" x14ac:dyDescent="0.25">
      <c r="A185">
        <v>2026</v>
      </c>
      <c r="B185" t="s">
        <v>22</v>
      </c>
      <c r="C185" t="s">
        <v>5</v>
      </c>
      <c r="D185" s="4" t="s">
        <v>9</v>
      </c>
      <c r="E185" s="3">
        <v>32112.155299999999</v>
      </c>
    </row>
    <row r="186" spans="1:6" x14ac:dyDescent="0.25">
      <c r="A186">
        <v>2026</v>
      </c>
      <c r="B186" t="s">
        <v>22</v>
      </c>
      <c r="C186" t="s">
        <v>7</v>
      </c>
      <c r="D186" s="4" t="s">
        <v>9</v>
      </c>
      <c r="E186" s="3">
        <v>121544.80000000002</v>
      </c>
    </row>
    <row r="187" spans="1:6" x14ac:dyDescent="0.25">
      <c r="A187">
        <v>2026</v>
      </c>
      <c r="B187" t="s">
        <v>22</v>
      </c>
      <c r="C187" t="s">
        <v>8</v>
      </c>
      <c r="D187" s="4" t="s">
        <v>9</v>
      </c>
      <c r="E187" s="3">
        <v>42219.37</v>
      </c>
    </row>
    <row r="188" spans="1:6" x14ac:dyDescent="0.25">
      <c r="A188">
        <v>2026</v>
      </c>
      <c r="B188" t="s">
        <v>22</v>
      </c>
      <c r="C188" t="s">
        <v>1</v>
      </c>
      <c r="D188" s="4" t="s">
        <v>12</v>
      </c>
      <c r="E188" s="3">
        <v>0</v>
      </c>
    </row>
    <row r="189" spans="1:6" x14ac:dyDescent="0.25">
      <c r="A189">
        <v>2026</v>
      </c>
      <c r="B189" t="s">
        <v>22</v>
      </c>
      <c r="C189" t="s">
        <v>3</v>
      </c>
      <c r="D189" s="4" t="s">
        <v>12</v>
      </c>
      <c r="E189" s="3">
        <v>543.69760000000008</v>
      </c>
    </row>
    <row r="190" spans="1:6" x14ac:dyDescent="0.25">
      <c r="A190">
        <v>2026</v>
      </c>
      <c r="B190" t="s">
        <v>22</v>
      </c>
      <c r="C190" t="s">
        <v>4</v>
      </c>
      <c r="D190" s="4" t="s">
        <v>12</v>
      </c>
      <c r="E190" s="3">
        <v>2551.955899999999</v>
      </c>
    </row>
    <row r="191" spans="1:6" x14ac:dyDescent="0.25">
      <c r="A191">
        <v>2026</v>
      </c>
      <c r="B191" t="s">
        <v>22</v>
      </c>
      <c r="C191" t="s">
        <v>5</v>
      </c>
      <c r="D191" s="4" t="s">
        <v>12</v>
      </c>
      <c r="E191" s="3">
        <v>1164.2699</v>
      </c>
    </row>
    <row r="192" spans="1:6" x14ac:dyDescent="0.25">
      <c r="A192">
        <v>2026</v>
      </c>
      <c r="B192" t="s">
        <v>22</v>
      </c>
      <c r="C192" t="s">
        <v>7</v>
      </c>
      <c r="D192" s="4" t="s">
        <v>12</v>
      </c>
      <c r="E192" s="3">
        <v>21328.843700000001</v>
      </c>
    </row>
    <row r="193" spans="1:7" x14ac:dyDescent="0.25">
      <c r="A193">
        <v>2026</v>
      </c>
      <c r="B193" t="s">
        <v>22</v>
      </c>
      <c r="C193" t="s">
        <v>8</v>
      </c>
      <c r="D193" s="4" t="s">
        <v>12</v>
      </c>
      <c r="E193" s="3">
        <v>0</v>
      </c>
      <c r="G193" s="1"/>
    </row>
    <row r="194" spans="1:7" hidden="1" x14ac:dyDescent="0.25">
      <c r="A194">
        <v>2026</v>
      </c>
      <c r="B194" s="1" t="s">
        <v>15</v>
      </c>
      <c r="C194" t="s">
        <v>1</v>
      </c>
      <c r="D194" s="4" t="s">
        <v>23</v>
      </c>
      <c r="E194" s="3">
        <v>543.64019051186142</v>
      </c>
      <c r="G194" s="1"/>
    </row>
    <row r="195" spans="1:7" hidden="1" x14ac:dyDescent="0.25">
      <c r="A195">
        <v>2026</v>
      </c>
      <c r="B195" s="1" t="s">
        <v>15</v>
      </c>
      <c r="C195" t="s">
        <v>3</v>
      </c>
      <c r="D195" s="4" t="s">
        <v>23</v>
      </c>
      <c r="E195" s="3">
        <v>403.0730447311102</v>
      </c>
      <c r="G195" s="1"/>
    </row>
    <row r="196" spans="1:7" hidden="1" x14ac:dyDescent="0.25">
      <c r="A196">
        <v>2026</v>
      </c>
      <c r="B196" s="1" t="s">
        <v>15</v>
      </c>
      <c r="C196" t="s">
        <v>4</v>
      </c>
      <c r="D196" s="4" t="s">
        <v>23</v>
      </c>
      <c r="E196" s="3">
        <v>983.35730462950687</v>
      </c>
      <c r="G196" s="1"/>
    </row>
    <row r="197" spans="1:7" hidden="1" x14ac:dyDescent="0.25">
      <c r="A197">
        <v>2026</v>
      </c>
      <c r="B197" s="1" t="s">
        <v>15</v>
      </c>
      <c r="C197" t="s">
        <v>5</v>
      </c>
      <c r="D197" s="4" t="s">
        <v>23</v>
      </c>
      <c r="E197" s="3">
        <v>1965.4183788000889</v>
      </c>
      <c r="G197" s="1"/>
    </row>
    <row r="198" spans="1:7" hidden="1" x14ac:dyDescent="0.25">
      <c r="A198">
        <v>2026</v>
      </c>
      <c r="B198" s="1" t="s">
        <v>15</v>
      </c>
      <c r="C198" t="s">
        <v>7</v>
      </c>
      <c r="D198" s="4" t="s">
        <v>23</v>
      </c>
      <c r="E198" s="3">
        <v>4667.8525500022288</v>
      </c>
      <c r="G198" s="1"/>
    </row>
    <row r="199" spans="1:7" hidden="1" x14ac:dyDescent="0.25">
      <c r="A199">
        <v>2026</v>
      </c>
      <c r="B199" s="1" t="s">
        <v>15</v>
      </c>
      <c r="C199" t="s">
        <v>8</v>
      </c>
      <c r="D199" s="4" t="s">
        <v>23</v>
      </c>
      <c r="E199" s="3">
        <v>1533.1485313252037</v>
      </c>
      <c r="G199" s="1"/>
    </row>
    <row r="200" spans="1:7" hidden="1" x14ac:dyDescent="0.25">
      <c r="A200">
        <v>2026</v>
      </c>
      <c r="B200" s="1" t="s">
        <v>16</v>
      </c>
      <c r="C200" t="s">
        <v>1</v>
      </c>
      <c r="D200" s="4" t="s">
        <v>23</v>
      </c>
      <c r="E200" s="3">
        <v>432.22359014749139</v>
      </c>
      <c r="G200" s="1"/>
    </row>
    <row r="201" spans="1:7" hidden="1" x14ac:dyDescent="0.25">
      <c r="A201">
        <v>2026</v>
      </c>
      <c r="B201" s="1" t="s">
        <v>16</v>
      </c>
      <c r="C201" t="s">
        <v>3</v>
      </c>
      <c r="D201" s="4" t="s">
        <v>23</v>
      </c>
      <c r="E201" s="3">
        <v>320.46504567906788</v>
      </c>
    </row>
    <row r="202" spans="1:7" hidden="1" x14ac:dyDescent="0.25">
      <c r="A202">
        <v>2026</v>
      </c>
      <c r="B202" s="1" t="s">
        <v>16</v>
      </c>
      <c r="C202" t="s">
        <v>4</v>
      </c>
      <c r="D202" s="4" t="s">
        <v>23</v>
      </c>
      <c r="E202" s="3">
        <v>781.82266878491987</v>
      </c>
    </row>
    <row r="203" spans="1:7" hidden="1" x14ac:dyDescent="0.25">
      <c r="A203">
        <v>2026</v>
      </c>
      <c r="B203" s="1" t="s">
        <v>16</v>
      </c>
      <c r="C203" t="s">
        <v>5</v>
      </c>
      <c r="D203" s="4" t="s">
        <v>23</v>
      </c>
      <c r="E203" s="3">
        <v>1562.6147636858752</v>
      </c>
    </row>
    <row r="204" spans="1:7" hidden="1" x14ac:dyDescent="0.25">
      <c r="A204">
        <v>2026</v>
      </c>
      <c r="B204" s="1" t="s">
        <v>16</v>
      </c>
      <c r="C204" t="s">
        <v>7</v>
      </c>
      <c r="D204" s="4" t="s">
        <v>23</v>
      </c>
      <c r="E204" s="3">
        <v>3711.1972636560722</v>
      </c>
    </row>
    <row r="205" spans="1:7" hidden="1" x14ac:dyDescent="0.25">
      <c r="A205">
        <v>2026</v>
      </c>
      <c r="B205" s="1" t="s">
        <v>16</v>
      </c>
      <c r="C205" t="s">
        <v>8</v>
      </c>
      <c r="D205" s="4" t="s">
        <v>23</v>
      </c>
      <c r="E205" s="3">
        <v>1218.9366680465741</v>
      </c>
    </row>
    <row r="206" spans="1:7" hidden="1" x14ac:dyDescent="0.25">
      <c r="A206">
        <v>2026</v>
      </c>
      <c r="B206" s="1" t="s">
        <v>17</v>
      </c>
      <c r="C206" t="s">
        <v>1</v>
      </c>
      <c r="D206" s="4" t="s">
        <v>23</v>
      </c>
      <c r="E206" s="3">
        <v>678.32137263825587</v>
      </c>
    </row>
    <row r="207" spans="1:7" hidden="1" x14ac:dyDescent="0.25">
      <c r="A207">
        <v>2026</v>
      </c>
      <c r="B207" s="1" t="s">
        <v>17</v>
      </c>
      <c r="C207" t="s">
        <v>3</v>
      </c>
      <c r="D207" s="4" t="s">
        <v>23</v>
      </c>
      <c r="E207" s="3">
        <v>502.93018387411206</v>
      </c>
    </row>
    <row r="208" spans="1:7" hidden="1" x14ac:dyDescent="0.25">
      <c r="A208">
        <v>2026</v>
      </c>
      <c r="B208" s="1" t="s">
        <v>17</v>
      </c>
      <c r="C208" t="s">
        <v>4</v>
      </c>
      <c r="D208" s="4" t="s">
        <v>23</v>
      </c>
      <c r="E208" s="3">
        <v>1226.9738115611026</v>
      </c>
    </row>
    <row r="209" spans="1:5" hidden="1" x14ac:dyDescent="0.25">
      <c r="A209">
        <v>2026</v>
      </c>
      <c r="B209" s="1" t="s">
        <v>17</v>
      </c>
      <c r="C209" t="s">
        <v>5</v>
      </c>
      <c r="D209" s="4" t="s">
        <v>23</v>
      </c>
      <c r="E209" s="3">
        <v>2452.3302650984624</v>
      </c>
    </row>
    <row r="210" spans="1:5" hidden="1" x14ac:dyDescent="0.25">
      <c r="A210">
        <v>2026</v>
      </c>
      <c r="B210" s="1" t="s">
        <v>17</v>
      </c>
      <c r="C210" t="s">
        <v>7</v>
      </c>
      <c r="D210" s="4" t="s">
        <v>23</v>
      </c>
      <c r="E210" s="3">
        <v>5824.2642914411435</v>
      </c>
    </row>
    <row r="211" spans="1:5" hidden="1" x14ac:dyDescent="0.25">
      <c r="A211">
        <v>2026</v>
      </c>
      <c r="B211" s="1" t="s">
        <v>17</v>
      </c>
      <c r="C211" t="s">
        <v>8</v>
      </c>
      <c r="D211" s="4" t="s">
        <v>23</v>
      </c>
      <c r="E211" s="3">
        <v>1912.9700753869256</v>
      </c>
    </row>
    <row r="212" spans="1:5" hidden="1" x14ac:dyDescent="0.25">
      <c r="A212">
        <v>2026</v>
      </c>
      <c r="B212" s="1" t="s">
        <v>18</v>
      </c>
      <c r="C212" t="s">
        <v>1</v>
      </c>
      <c r="D212" s="4" t="s">
        <v>23</v>
      </c>
      <c r="E212" s="3">
        <v>609.57059480822136</v>
      </c>
    </row>
    <row r="213" spans="1:5" hidden="1" x14ac:dyDescent="0.25">
      <c r="A213">
        <v>2026</v>
      </c>
      <c r="B213" s="1" t="s">
        <v>18</v>
      </c>
      <c r="C213" t="s">
        <v>3</v>
      </c>
      <c r="D213" s="4" t="s">
        <v>23</v>
      </c>
      <c r="E213" s="3">
        <v>451.95605460399236</v>
      </c>
    </row>
    <row r="214" spans="1:5" hidden="1" x14ac:dyDescent="0.25">
      <c r="A214">
        <v>2026</v>
      </c>
      <c r="B214" s="1" t="s">
        <v>18</v>
      </c>
      <c r="C214" t="s">
        <v>4</v>
      </c>
      <c r="D214" s="4" t="s">
        <v>23</v>
      </c>
      <c r="E214" s="3">
        <v>1102.6147579847468</v>
      </c>
    </row>
    <row r="215" spans="1:5" hidden="1" x14ac:dyDescent="0.25">
      <c r="A215">
        <v>2026</v>
      </c>
      <c r="B215" s="1" t="s">
        <v>18</v>
      </c>
      <c r="C215" t="s">
        <v>5</v>
      </c>
      <c r="D215" s="4" t="s">
        <v>23</v>
      </c>
      <c r="E215" s="3">
        <v>2203.7760841120894</v>
      </c>
    </row>
    <row r="216" spans="1:5" hidden="1" x14ac:dyDescent="0.25">
      <c r="A216">
        <v>2026</v>
      </c>
      <c r="B216" s="1" t="s">
        <v>18</v>
      </c>
      <c r="C216" t="s">
        <v>7</v>
      </c>
      <c r="D216" s="4" t="s">
        <v>23</v>
      </c>
      <c r="E216" s="3">
        <v>5233.950147620385</v>
      </c>
    </row>
    <row r="217" spans="1:5" hidden="1" x14ac:dyDescent="0.25">
      <c r="A217">
        <v>2026</v>
      </c>
      <c r="B217" s="1" t="s">
        <v>18</v>
      </c>
      <c r="C217" t="s">
        <v>8</v>
      </c>
      <c r="D217" s="4" t="s">
        <v>23</v>
      </c>
      <c r="E217" s="3">
        <v>1719.0823608705666</v>
      </c>
    </row>
    <row r="218" spans="1:5" hidden="1" x14ac:dyDescent="0.25">
      <c r="A218">
        <v>2026</v>
      </c>
      <c r="B218" s="1" t="s">
        <v>19</v>
      </c>
      <c r="C218" t="s">
        <v>1</v>
      </c>
      <c r="D218" s="4" t="s">
        <v>23</v>
      </c>
      <c r="E218" s="3">
        <v>744.32500541888055</v>
      </c>
    </row>
    <row r="219" spans="1:5" hidden="1" x14ac:dyDescent="0.25">
      <c r="A219">
        <v>2026</v>
      </c>
      <c r="B219" s="1" t="s">
        <v>19</v>
      </c>
      <c r="C219" t="s">
        <v>3</v>
      </c>
      <c r="D219" s="4" t="s">
        <v>23</v>
      </c>
      <c r="E219" s="3">
        <v>551.86748779778145</v>
      </c>
    </row>
    <row r="220" spans="1:5" hidden="1" x14ac:dyDescent="0.25">
      <c r="A220">
        <v>2026</v>
      </c>
      <c r="B220" s="1" t="s">
        <v>19</v>
      </c>
      <c r="C220" t="s">
        <v>4</v>
      </c>
      <c r="D220" s="4" t="s">
        <v>23</v>
      </c>
      <c r="E220" s="3">
        <v>1346.3637234176927</v>
      </c>
    </row>
    <row r="221" spans="1:5" hidden="1" x14ac:dyDescent="0.25">
      <c r="A221">
        <v>2026</v>
      </c>
      <c r="B221" s="1" t="s">
        <v>19</v>
      </c>
      <c r="C221" t="s">
        <v>5</v>
      </c>
      <c r="D221" s="4" t="s">
        <v>23</v>
      </c>
      <c r="E221" s="3">
        <v>2690.9527128105606</v>
      </c>
    </row>
    <row r="222" spans="1:5" hidden="1" x14ac:dyDescent="0.25">
      <c r="A222">
        <v>2026</v>
      </c>
      <c r="B222" s="1" t="s">
        <v>19</v>
      </c>
      <c r="C222" t="s">
        <v>7</v>
      </c>
      <c r="D222" s="4" t="s">
        <v>23</v>
      </c>
      <c r="E222" s="3">
        <v>6390.9906500909046</v>
      </c>
    </row>
    <row r="223" spans="1:5" hidden="1" x14ac:dyDescent="0.25">
      <c r="A223">
        <v>2026</v>
      </c>
      <c r="B223" s="1" t="s">
        <v>19</v>
      </c>
      <c r="C223" t="s">
        <v>8</v>
      </c>
      <c r="D223" s="4" t="s">
        <v>23</v>
      </c>
      <c r="E223" s="3">
        <v>2099.1104204641815</v>
      </c>
    </row>
    <row r="224" spans="1:5" hidden="1" x14ac:dyDescent="0.25">
      <c r="A224">
        <v>2026</v>
      </c>
      <c r="B224" s="1" t="s">
        <v>20</v>
      </c>
      <c r="C224" t="s">
        <v>1</v>
      </c>
      <c r="D224" s="4" t="s">
        <v>23</v>
      </c>
      <c r="E224" s="3">
        <v>528.99233987992443</v>
      </c>
    </row>
    <row r="225" spans="1:5" hidden="1" x14ac:dyDescent="0.25">
      <c r="A225">
        <v>2026</v>
      </c>
      <c r="B225" s="1" t="s">
        <v>20</v>
      </c>
      <c r="C225" t="s">
        <v>3</v>
      </c>
      <c r="D225" s="4" t="s">
        <v>23</v>
      </c>
      <c r="E225" s="3">
        <v>392.21263768978685</v>
      </c>
    </row>
    <row r="226" spans="1:5" hidden="1" x14ac:dyDescent="0.25">
      <c r="A226">
        <v>2026</v>
      </c>
      <c r="B226" s="1" t="s">
        <v>20</v>
      </c>
      <c r="C226" t="s">
        <v>4</v>
      </c>
      <c r="D226" s="4" t="s">
        <v>23</v>
      </c>
      <c r="E226" s="3">
        <v>956.86170852121484</v>
      </c>
    </row>
    <row r="227" spans="1:5" hidden="1" x14ac:dyDescent="0.25">
      <c r="A227">
        <v>2026</v>
      </c>
      <c r="B227" s="1" t="s">
        <v>20</v>
      </c>
      <c r="C227" t="s">
        <v>5</v>
      </c>
      <c r="D227" s="4" t="s">
        <v>23</v>
      </c>
      <c r="E227" s="3">
        <v>1912.4621122392568</v>
      </c>
    </row>
    <row r="228" spans="1:5" hidden="1" x14ac:dyDescent="0.25">
      <c r="A228">
        <v>2026</v>
      </c>
      <c r="B228" s="1" t="s">
        <v>20</v>
      </c>
      <c r="C228" t="s">
        <v>7</v>
      </c>
      <c r="D228" s="4" t="s">
        <v>23</v>
      </c>
      <c r="E228" s="3">
        <v>4542.0818507094455</v>
      </c>
    </row>
    <row r="229" spans="1:5" hidden="1" x14ac:dyDescent="0.25">
      <c r="A229">
        <v>2026</v>
      </c>
      <c r="B229" s="1" t="s">
        <v>20</v>
      </c>
      <c r="C229" t="s">
        <v>8</v>
      </c>
      <c r="D229" s="4" t="s">
        <v>23</v>
      </c>
      <c r="E229" s="3">
        <v>1491.8393509603734</v>
      </c>
    </row>
    <row r="230" spans="1:5" hidden="1" x14ac:dyDescent="0.25">
      <c r="A230">
        <v>2026</v>
      </c>
      <c r="B230" s="1" t="s">
        <v>21</v>
      </c>
      <c r="C230" t="s">
        <v>1</v>
      </c>
      <c r="D230" s="4" t="s">
        <v>23</v>
      </c>
      <c r="E230" s="3">
        <v>774.4423733517865</v>
      </c>
    </row>
    <row r="231" spans="1:5" hidden="1" x14ac:dyDescent="0.25">
      <c r="A231">
        <v>2026</v>
      </c>
      <c r="B231" s="1" t="s">
        <v>21</v>
      </c>
      <c r="C231" t="s">
        <v>3</v>
      </c>
      <c r="D231" s="4" t="s">
        <v>23</v>
      </c>
      <c r="E231" s="3">
        <v>574.19751306793967</v>
      </c>
    </row>
    <row r="232" spans="1:5" hidden="1" x14ac:dyDescent="0.25">
      <c r="A232">
        <v>2026</v>
      </c>
      <c r="B232" s="1" t="s">
        <v>21</v>
      </c>
      <c r="C232" t="s">
        <v>4</v>
      </c>
      <c r="D232" s="4" t="s">
        <v>23</v>
      </c>
      <c r="E232" s="3">
        <v>1400.8411779361904</v>
      </c>
    </row>
    <row r="233" spans="1:5" hidden="1" x14ac:dyDescent="0.25">
      <c r="A233">
        <v>2026</v>
      </c>
      <c r="B233" s="1" t="s">
        <v>21</v>
      </c>
      <c r="C233" t="s">
        <v>5</v>
      </c>
      <c r="D233" s="4" t="s">
        <v>23</v>
      </c>
      <c r="E233" s="3">
        <v>2799.8358113921513</v>
      </c>
    </row>
    <row r="234" spans="1:5" hidden="1" x14ac:dyDescent="0.25">
      <c r="A234">
        <v>2026</v>
      </c>
      <c r="B234" s="1" t="s">
        <v>21</v>
      </c>
      <c r="C234" t="s">
        <v>7</v>
      </c>
      <c r="D234" s="4" t="s">
        <v>23</v>
      </c>
      <c r="E234" s="3">
        <v>6649.587117310527</v>
      </c>
    </row>
    <row r="235" spans="1:5" hidden="1" x14ac:dyDescent="0.25">
      <c r="A235">
        <v>2026</v>
      </c>
      <c r="B235" s="1" t="s">
        <v>21</v>
      </c>
      <c r="C235" t="s">
        <v>8</v>
      </c>
      <c r="D235" s="4" t="s">
        <v>23</v>
      </c>
      <c r="E235" s="3">
        <v>2184.0460069414066</v>
      </c>
    </row>
    <row r="236" spans="1:5" x14ac:dyDescent="0.25">
      <c r="A236">
        <v>2026</v>
      </c>
      <c r="B236" s="1" t="s">
        <v>22</v>
      </c>
      <c r="C236" t="s">
        <v>1</v>
      </c>
      <c r="D236" s="4" t="s">
        <v>23</v>
      </c>
      <c r="E236" s="3">
        <v>771.25047294941464</v>
      </c>
    </row>
    <row r="237" spans="1:5" x14ac:dyDescent="0.25">
      <c r="A237">
        <v>2026</v>
      </c>
      <c r="B237" s="1" t="s">
        <v>22</v>
      </c>
      <c r="C237" t="s">
        <v>3</v>
      </c>
      <c r="D237" s="4" t="s">
        <v>23</v>
      </c>
      <c r="E237" s="3">
        <v>571.83093120714841</v>
      </c>
    </row>
    <row r="238" spans="1:5" x14ac:dyDescent="0.25">
      <c r="A238">
        <v>2026</v>
      </c>
      <c r="B238" s="1" t="s">
        <v>22</v>
      </c>
      <c r="C238" t="s">
        <v>4</v>
      </c>
      <c r="D238" s="4" t="s">
        <v>23</v>
      </c>
      <c r="E238" s="3">
        <v>1395.0675456126366</v>
      </c>
    </row>
    <row r="239" spans="1:5" x14ac:dyDescent="0.25">
      <c r="A239">
        <v>2026</v>
      </c>
      <c r="B239" s="1" t="s">
        <v>22</v>
      </c>
      <c r="C239" t="s">
        <v>5</v>
      </c>
      <c r="D239" s="4" t="s">
        <v>23</v>
      </c>
      <c r="E239" s="3">
        <v>2788.2961573643383</v>
      </c>
    </row>
    <row r="240" spans="1:5" x14ac:dyDescent="0.25">
      <c r="A240">
        <v>2026</v>
      </c>
      <c r="B240" s="1" t="s">
        <v>22</v>
      </c>
      <c r="C240" t="s">
        <v>7</v>
      </c>
      <c r="D240" s="4" t="s">
        <v>23</v>
      </c>
      <c r="E240" s="3">
        <v>6622.1805335210984</v>
      </c>
    </row>
    <row r="241" spans="1:5" x14ac:dyDescent="0.25">
      <c r="A241">
        <v>2026</v>
      </c>
      <c r="B241" s="1" t="s">
        <v>22</v>
      </c>
      <c r="C241" t="s">
        <v>8</v>
      </c>
      <c r="D241" s="4" t="s">
        <v>23</v>
      </c>
      <c r="E241" s="3">
        <v>2175.0443593453647</v>
      </c>
    </row>
    <row r="243" spans="1:5" x14ac:dyDescent="0.25">
      <c r="A243">
        <v>2026</v>
      </c>
      <c r="B243" t="s">
        <v>25</v>
      </c>
      <c r="C243" t="s">
        <v>1</v>
      </c>
      <c r="D243" s="4" t="s">
        <v>10</v>
      </c>
      <c r="E243">
        <v>95728.084700000007</v>
      </c>
    </row>
    <row r="244" spans="1:5" x14ac:dyDescent="0.25">
      <c r="A244">
        <v>2026</v>
      </c>
      <c r="B244" t="s">
        <v>25</v>
      </c>
      <c r="C244" t="s">
        <v>3</v>
      </c>
      <c r="D244" s="4" t="s">
        <v>10</v>
      </c>
      <c r="E244" s="2">
        <v>73499.102599999998</v>
      </c>
    </row>
    <row r="245" spans="1:5" x14ac:dyDescent="0.25">
      <c r="A245">
        <v>2026</v>
      </c>
      <c r="B245" t="s">
        <v>25</v>
      </c>
      <c r="C245" t="s">
        <v>4</v>
      </c>
      <c r="D245" s="4" t="s">
        <v>10</v>
      </c>
      <c r="E245" s="2">
        <v>161766.7072</v>
      </c>
    </row>
    <row r="246" spans="1:5" x14ac:dyDescent="0.25">
      <c r="A246">
        <v>2026</v>
      </c>
      <c r="B246" t="s">
        <v>25</v>
      </c>
      <c r="C246" t="s">
        <v>5</v>
      </c>
      <c r="D246" s="4" t="s">
        <v>10</v>
      </c>
      <c r="E246" s="2">
        <v>342906.08250000002</v>
      </c>
    </row>
    <row r="247" spans="1:5" x14ac:dyDescent="0.25">
      <c r="A247">
        <v>2026</v>
      </c>
      <c r="B247" t="s">
        <v>25</v>
      </c>
      <c r="C247" t="s">
        <v>7</v>
      </c>
      <c r="D247" s="4" t="s">
        <v>10</v>
      </c>
      <c r="E247" s="3">
        <v>802815.92779994395</v>
      </c>
    </row>
    <row r="248" spans="1:5" x14ac:dyDescent="0.25">
      <c r="A248">
        <v>2026</v>
      </c>
      <c r="B248" t="s">
        <v>25</v>
      </c>
      <c r="C248" t="s">
        <v>8</v>
      </c>
      <c r="D248" s="4" t="s">
        <v>10</v>
      </c>
      <c r="E248" s="3">
        <v>265105.07</v>
      </c>
    </row>
    <row r="249" spans="1:5" x14ac:dyDescent="0.25">
      <c r="A249">
        <v>2026</v>
      </c>
      <c r="B249" t="s">
        <v>25</v>
      </c>
      <c r="C249" t="s">
        <v>1</v>
      </c>
      <c r="D249" s="4" t="s">
        <v>11</v>
      </c>
      <c r="E249" s="2">
        <v>90250.578400000013</v>
      </c>
    </row>
    <row r="250" spans="1:5" x14ac:dyDescent="0.25">
      <c r="A250">
        <v>2026</v>
      </c>
      <c r="B250" t="s">
        <v>25</v>
      </c>
      <c r="C250" t="s">
        <v>3</v>
      </c>
      <c r="D250" s="4" t="s">
        <v>11</v>
      </c>
      <c r="E250" s="2">
        <v>62663.806999999993</v>
      </c>
    </row>
    <row r="251" spans="1:5" x14ac:dyDescent="0.25">
      <c r="A251">
        <v>2026</v>
      </c>
      <c r="B251" t="s">
        <v>25</v>
      </c>
      <c r="C251" t="s">
        <v>4</v>
      </c>
      <c r="D251" s="4" t="s">
        <v>11</v>
      </c>
      <c r="E251" s="2">
        <v>149502.7254</v>
      </c>
    </row>
    <row r="252" spans="1:5" x14ac:dyDescent="0.25">
      <c r="A252">
        <v>2026</v>
      </c>
      <c r="B252" t="s">
        <v>25</v>
      </c>
      <c r="C252" t="s">
        <v>5</v>
      </c>
      <c r="D252" s="4" t="s">
        <v>11</v>
      </c>
      <c r="E252" s="2">
        <v>300126.09499999997</v>
      </c>
    </row>
    <row r="253" spans="1:5" x14ac:dyDescent="0.25">
      <c r="A253">
        <v>2026</v>
      </c>
      <c r="B253" t="s">
        <v>25</v>
      </c>
      <c r="C253" t="s">
        <v>7</v>
      </c>
      <c r="D253" s="4" t="s">
        <v>11</v>
      </c>
      <c r="E253" s="2">
        <v>609632.1459</v>
      </c>
    </row>
    <row r="254" spans="1:5" x14ac:dyDescent="0.25">
      <c r="A254">
        <v>2026</v>
      </c>
      <c r="B254" t="s">
        <v>25</v>
      </c>
      <c r="C254" t="s">
        <v>8</v>
      </c>
      <c r="D254" s="4" t="s">
        <v>11</v>
      </c>
      <c r="E254" s="3">
        <v>213001.78</v>
      </c>
    </row>
    <row r="255" spans="1:5" x14ac:dyDescent="0.25">
      <c r="A255">
        <v>2026</v>
      </c>
      <c r="B255" t="s">
        <v>25</v>
      </c>
      <c r="C255" t="s">
        <v>1</v>
      </c>
      <c r="D255" s="4" t="s">
        <v>9</v>
      </c>
      <c r="E255">
        <v>13582.3495</v>
      </c>
    </row>
    <row r="256" spans="1:5" x14ac:dyDescent="0.25">
      <c r="A256">
        <v>2026</v>
      </c>
      <c r="B256" t="s">
        <v>25</v>
      </c>
      <c r="C256" t="s">
        <v>3</v>
      </c>
      <c r="D256" s="4" t="s">
        <v>9</v>
      </c>
      <c r="E256" s="3">
        <v>8889.4673999999995</v>
      </c>
    </row>
    <row r="257" spans="1:7" x14ac:dyDescent="0.25">
      <c r="A257">
        <v>2026</v>
      </c>
      <c r="B257" t="s">
        <v>25</v>
      </c>
      <c r="C257" t="s">
        <v>4</v>
      </c>
      <c r="D257" s="4" t="s">
        <v>9</v>
      </c>
      <c r="E257" s="3">
        <v>32415.927599999999</v>
      </c>
    </row>
    <row r="258" spans="1:7" x14ac:dyDescent="0.25">
      <c r="A258">
        <v>2026</v>
      </c>
      <c r="B258" t="s">
        <v>25</v>
      </c>
      <c r="C258" t="s">
        <v>5</v>
      </c>
      <c r="D258" s="4" t="s">
        <v>9</v>
      </c>
      <c r="E258" s="3">
        <v>33088.573100000001</v>
      </c>
      <c r="G258">
        <f>49385.93*0.15</f>
        <v>7407.8894999999993</v>
      </c>
    </row>
    <row r="259" spans="1:7" x14ac:dyDescent="0.25">
      <c r="A259">
        <v>2026</v>
      </c>
      <c r="B259" t="s">
        <v>25</v>
      </c>
      <c r="C259" t="s">
        <v>7</v>
      </c>
      <c r="D259" s="4" t="s">
        <v>9</v>
      </c>
      <c r="E259" s="3">
        <v>127067.23</v>
      </c>
    </row>
    <row r="260" spans="1:7" x14ac:dyDescent="0.25">
      <c r="A260">
        <v>2026</v>
      </c>
      <c r="B260" t="s">
        <v>25</v>
      </c>
      <c r="C260" t="s">
        <v>8</v>
      </c>
      <c r="D260" s="4" t="s">
        <v>9</v>
      </c>
      <c r="E260" s="3">
        <v>43717.19</v>
      </c>
    </row>
    <row r="261" spans="1:7" x14ac:dyDescent="0.25">
      <c r="A261">
        <v>2026</v>
      </c>
      <c r="B261" t="s">
        <v>25</v>
      </c>
      <c r="C261" t="s">
        <v>1</v>
      </c>
      <c r="D261" s="4" t="s">
        <v>12</v>
      </c>
      <c r="E261" s="3">
        <v>0</v>
      </c>
    </row>
    <row r="262" spans="1:7" x14ac:dyDescent="0.25">
      <c r="A262">
        <v>2026</v>
      </c>
      <c r="B262" t="s">
        <v>25</v>
      </c>
      <c r="C262" t="s">
        <v>3</v>
      </c>
      <c r="D262" s="4" t="s">
        <v>12</v>
      </c>
      <c r="E262" s="3">
        <v>0</v>
      </c>
    </row>
    <row r="263" spans="1:7" x14ac:dyDescent="0.25">
      <c r="A263">
        <v>2026</v>
      </c>
      <c r="B263" t="s">
        <v>25</v>
      </c>
      <c r="C263" t="s">
        <v>4</v>
      </c>
      <c r="D263" s="4" t="s">
        <v>12</v>
      </c>
      <c r="E263" s="3">
        <v>4630.57</v>
      </c>
    </row>
    <row r="264" spans="1:7" x14ac:dyDescent="0.25">
      <c r="A264">
        <v>2026</v>
      </c>
      <c r="B264" t="s">
        <v>25</v>
      </c>
      <c r="C264" t="s">
        <v>5</v>
      </c>
      <c r="D264" s="4" t="s">
        <v>12</v>
      </c>
      <c r="E264" s="3">
        <v>820.35</v>
      </c>
    </row>
    <row r="265" spans="1:7" x14ac:dyDescent="0.25">
      <c r="A265">
        <v>2026</v>
      </c>
      <c r="B265" t="s">
        <v>25</v>
      </c>
      <c r="C265" t="s">
        <v>7</v>
      </c>
      <c r="D265" s="4" t="s">
        <v>12</v>
      </c>
      <c r="E265" s="3">
        <v>25743.1</v>
      </c>
    </row>
    <row r="266" spans="1:7" x14ac:dyDescent="0.25">
      <c r="A266">
        <v>2026</v>
      </c>
      <c r="B266" t="s">
        <v>25</v>
      </c>
      <c r="C266" t="s">
        <v>8</v>
      </c>
      <c r="D266" s="4" t="s">
        <v>12</v>
      </c>
      <c r="E266" s="3">
        <v>0</v>
      </c>
    </row>
    <row r="267" spans="1:7" x14ac:dyDescent="0.25">
      <c r="A267">
        <v>2026</v>
      </c>
      <c r="B267" t="s">
        <v>25</v>
      </c>
      <c r="C267" t="s">
        <v>1</v>
      </c>
      <c r="D267" s="4" t="s">
        <v>23</v>
      </c>
      <c r="E267" s="3">
        <v>779.79250000000002</v>
      </c>
    </row>
    <row r="268" spans="1:7" x14ac:dyDescent="0.25">
      <c r="A268">
        <v>2026</v>
      </c>
      <c r="B268" t="s">
        <v>25</v>
      </c>
      <c r="C268" t="s">
        <v>3</v>
      </c>
      <c r="D268" s="4" t="s">
        <v>23</v>
      </c>
      <c r="E268" s="3">
        <v>484.01099999999997</v>
      </c>
    </row>
    <row r="269" spans="1:7" x14ac:dyDescent="0.25">
      <c r="A269">
        <v>2026</v>
      </c>
      <c r="B269" t="s">
        <v>25</v>
      </c>
      <c r="C269" t="s">
        <v>4</v>
      </c>
      <c r="D269" s="4" t="s">
        <v>23</v>
      </c>
      <c r="E269">
        <v>2312.4969999999998</v>
      </c>
    </row>
    <row r="270" spans="1:7" x14ac:dyDescent="0.25">
      <c r="A270">
        <v>2026</v>
      </c>
      <c r="B270" t="s">
        <v>25</v>
      </c>
      <c r="C270" t="s">
        <v>5</v>
      </c>
      <c r="D270" s="4" t="s">
        <v>23</v>
      </c>
      <c r="E270" s="3">
        <v>1801.5964999999999</v>
      </c>
    </row>
    <row r="271" spans="1:7" x14ac:dyDescent="0.25">
      <c r="A271">
        <v>2026</v>
      </c>
      <c r="B271" t="s">
        <v>25</v>
      </c>
      <c r="C271" t="s">
        <v>7</v>
      </c>
      <c r="D271" s="4" t="s">
        <v>23</v>
      </c>
      <c r="E271" s="3">
        <v>5377.09</v>
      </c>
    </row>
    <row r="272" spans="1:7" x14ac:dyDescent="0.25">
      <c r="A272">
        <v>2026</v>
      </c>
      <c r="B272" t="s">
        <v>25</v>
      </c>
      <c r="C272" t="s">
        <v>8</v>
      </c>
      <c r="D272" s="4" t="s">
        <v>23</v>
      </c>
      <c r="E272" s="3">
        <v>2688.95</v>
      </c>
    </row>
  </sheetData>
  <autoFilter ref="A1:E241" xr:uid="{1A73EA3A-E1FE-485B-B71A-B3ECBB4FF369}">
    <filterColumn colId="1">
      <filters>
        <filter val="AGOSTO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FD4D-DA47-4482-8314-53DA1C6D364D}">
  <dimension ref="A1:E55"/>
  <sheetViews>
    <sheetView tabSelected="1" topLeftCell="A29" workbookViewId="0">
      <selection activeCell="A50" sqref="A50"/>
    </sheetView>
  </sheetViews>
  <sheetFormatPr baseColWidth="10" defaultRowHeight="15" x14ac:dyDescent="0.25"/>
  <sheetData>
    <row r="1" spans="1:5" x14ac:dyDescent="0.25">
      <c r="A1" t="s">
        <v>14</v>
      </c>
      <c r="B1" t="s">
        <v>13</v>
      </c>
      <c r="C1" t="s">
        <v>2</v>
      </c>
      <c r="D1" t="s">
        <v>6</v>
      </c>
      <c r="E1" t="s">
        <v>24</v>
      </c>
    </row>
    <row r="2" spans="1:5" x14ac:dyDescent="0.25">
      <c r="A2">
        <v>2026</v>
      </c>
      <c r="B2" t="s">
        <v>15</v>
      </c>
      <c r="C2" t="s">
        <v>1</v>
      </c>
      <c r="D2" t="s">
        <v>9</v>
      </c>
      <c r="E2" s="3">
        <v>1205.39966</v>
      </c>
    </row>
    <row r="3" spans="1:5" x14ac:dyDescent="0.25">
      <c r="A3">
        <v>2026</v>
      </c>
      <c r="B3" t="s">
        <v>15</v>
      </c>
      <c r="C3" t="s">
        <v>3</v>
      </c>
      <c r="D3" t="s">
        <v>9</v>
      </c>
      <c r="E3" s="3">
        <v>1049.8642199999999</v>
      </c>
    </row>
    <row r="4" spans="1:5" x14ac:dyDescent="0.25">
      <c r="A4">
        <v>2026</v>
      </c>
      <c r="B4" t="s">
        <v>15</v>
      </c>
      <c r="C4" t="s">
        <v>4</v>
      </c>
      <c r="D4" t="s">
        <v>9</v>
      </c>
      <c r="E4" s="3">
        <v>2916.2894999999999</v>
      </c>
    </row>
    <row r="5" spans="1:5" x14ac:dyDescent="0.25">
      <c r="A5">
        <v>2026</v>
      </c>
      <c r="B5" t="s">
        <v>15</v>
      </c>
      <c r="C5" t="s">
        <v>5</v>
      </c>
      <c r="D5" t="s">
        <v>9</v>
      </c>
      <c r="E5" s="3">
        <v>2605.2186200000001</v>
      </c>
    </row>
    <row r="6" spans="1:5" x14ac:dyDescent="0.25">
      <c r="A6">
        <v>2026</v>
      </c>
      <c r="B6" t="s">
        <v>15</v>
      </c>
      <c r="C6" t="s">
        <v>7</v>
      </c>
      <c r="D6" t="s">
        <v>9</v>
      </c>
      <c r="E6" s="3">
        <v>7776.7719999999999</v>
      </c>
    </row>
    <row r="7" spans="1:5" x14ac:dyDescent="0.25">
      <c r="A7">
        <v>2026</v>
      </c>
      <c r="B7" t="s">
        <v>15</v>
      </c>
      <c r="C7" t="s">
        <v>8</v>
      </c>
      <c r="D7" t="s">
        <v>9</v>
      </c>
      <c r="E7" s="3">
        <v>3888.386</v>
      </c>
    </row>
    <row r="8" spans="1:5" x14ac:dyDescent="0.25">
      <c r="A8">
        <v>2026</v>
      </c>
      <c r="B8" t="s">
        <v>16</v>
      </c>
      <c r="C8" t="s">
        <v>1</v>
      </c>
      <c r="D8" t="s">
        <v>9</v>
      </c>
      <c r="E8" s="3">
        <v>944.99098000000004</v>
      </c>
    </row>
    <row r="9" spans="1:5" x14ac:dyDescent="0.25">
      <c r="A9">
        <v>2026</v>
      </c>
      <c r="B9" t="s">
        <v>16</v>
      </c>
      <c r="C9" t="s">
        <v>3</v>
      </c>
      <c r="D9" t="s">
        <v>9</v>
      </c>
      <c r="E9" s="3">
        <v>823.05665999999997</v>
      </c>
    </row>
    <row r="10" spans="1:5" x14ac:dyDescent="0.25">
      <c r="A10">
        <v>2026</v>
      </c>
      <c r="B10" t="s">
        <v>16</v>
      </c>
      <c r="C10" t="s">
        <v>4</v>
      </c>
      <c r="D10" t="s">
        <v>9</v>
      </c>
      <c r="E10" s="3">
        <v>2286.2685000000001</v>
      </c>
    </row>
    <row r="11" spans="1:5" x14ac:dyDescent="0.25">
      <c r="A11">
        <v>2026</v>
      </c>
      <c r="B11" t="s">
        <v>16</v>
      </c>
      <c r="C11" t="s">
        <v>5</v>
      </c>
      <c r="D11" t="s">
        <v>9</v>
      </c>
      <c r="E11" s="3">
        <v>2042.3998600000002</v>
      </c>
    </row>
    <row r="12" spans="1:5" x14ac:dyDescent="0.25">
      <c r="A12">
        <v>2026</v>
      </c>
      <c r="B12" t="s">
        <v>16</v>
      </c>
      <c r="C12" t="s">
        <v>7</v>
      </c>
      <c r="D12" t="s">
        <v>9</v>
      </c>
      <c r="E12" s="3">
        <v>6096.7160000000003</v>
      </c>
    </row>
    <row r="13" spans="1:5" x14ac:dyDescent="0.25">
      <c r="A13">
        <v>2026</v>
      </c>
      <c r="B13" t="s">
        <v>16</v>
      </c>
      <c r="C13" t="s">
        <v>8</v>
      </c>
      <c r="D13" t="s">
        <v>9</v>
      </c>
      <c r="E13" s="3">
        <v>3048.3580000000002</v>
      </c>
    </row>
    <row r="14" spans="1:5" x14ac:dyDescent="0.25">
      <c r="A14">
        <v>2026</v>
      </c>
      <c r="B14" t="s">
        <v>17</v>
      </c>
      <c r="C14" t="s">
        <v>1</v>
      </c>
      <c r="D14" t="s">
        <v>9</v>
      </c>
      <c r="E14" s="3">
        <v>944.99098000000004</v>
      </c>
    </row>
    <row r="15" spans="1:5" x14ac:dyDescent="0.25">
      <c r="A15">
        <v>2026</v>
      </c>
      <c r="B15" t="s">
        <v>17</v>
      </c>
      <c r="C15" t="s">
        <v>3</v>
      </c>
      <c r="D15" t="s">
        <v>9</v>
      </c>
      <c r="E15" s="3">
        <v>823.05665999999997</v>
      </c>
    </row>
    <row r="16" spans="1:5" x14ac:dyDescent="0.25">
      <c r="A16">
        <v>2026</v>
      </c>
      <c r="B16" t="s">
        <v>17</v>
      </c>
      <c r="C16" t="s">
        <v>4</v>
      </c>
      <c r="D16" t="s">
        <v>9</v>
      </c>
      <c r="E16" s="3">
        <v>2286.2685000000001</v>
      </c>
    </row>
    <row r="17" spans="1:5" x14ac:dyDescent="0.25">
      <c r="A17">
        <v>2026</v>
      </c>
      <c r="B17" t="s">
        <v>17</v>
      </c>
      <c r="C17" t="s">
        <v>5</v>
      </c>
      <c r="D17" t="s">
        <v>9</v>
      </c>
      <c r="E17" s="3">
        <v>2042.3998600000002</v>
      </c>
    </row>
    <row r="18" spans="1:5" x14ac:dyDescent="0.25">
      <c r="A18">
        <v>2026</v>
      </c>
      <c r="B18" t="s">
        <v>17</v>
      </c>
      <c r="C18" t="s">
        <v>7</v>
      </c>
      <c r="D18" t="s">
        <v>9</v>
      </c>
      <c r="E18" s="3">
        <v>6096.7160000000003</v>
      </c>
    </row>
    <row r="19" spans="1:5" x14ac:dyDescent="0.25">
      <c r="A19">
        <v>2026</v>
      </c>
      <c r="B19" t="s">
        <v>17</v>
      </c>
      <c r="C19" t="s">
        <v>8</v>
      </c>
      <c r="D19" t="s">
        <v>9</v>
      </c>
      <c r="E19" s="3">
        <v>3048.3580000000002</v>
      </c>
    </row>
    <row r="20" spans="1:5" x14ac:dyDescent="0.25">
      <c r="A20">
        <v>2026</v>
      </c>
      <c r="B20" t="s">
        <v>18</v>
      </c>
      <c r="C20" t="s">
        <v>1</v>
      </c>
      <c r="D20" t="s">
        <v>9</v>
      </c>
      <c r="E20" s="3">
        <v>944.99098000000004</v>
      </c>
    </row>
    <row r="21" spans="1:5" x14ac:dyDescent="0.25">
      <c r="A21">
        <v>2026</v>
      </c>
      <c r="B21" t="s">
        <v>18</v>
      </c>
      <c r="C21" t="s">
        <v>3</v>
      </c>
      <c r="D21" t="s">
        <v>9</v>
      </c>
      <c r="E21" s="3">
        <v>823.05665999999997</v>
      </c>
    </row>
    <row r="22" spans="1:5" x14ac:dyDescent="0.25">
      <c r="A22">
        <v>2026</v>
      </c>
      <c r="B22" t="s">
        <v>18</v>
      </c>
      <c r="C22" t="s">
        <v>4</v>
      </c>
      <c r="D22" t="s">
        <v>9</v>
      </c>
      <c r="E22" s="3">
        <v>2286.2685000000001</v>
      </c>
    </row>
    <row r="23" spans="1:5" x14ac:dyDescent="0.25">
      <c r="A23">
        <v>2026</v>
      </c>
      <c r="B23" t="s">
        <v>18</v>
      </c>
      <c r="C23" t="s">
        <v>5</v>
      </c>
      <c r="D23" t="s">
        <v>9</v>
      </c>
      <c r="E23" s="3">
        <v>2042.3998600000002</v>
      </c>
    </row>
    <row r="24" spans="1:5" x14ac:dyDescent="0.25">
      <c r="A24">
        <v>2026</v>
      </c>
      <c r="B24" t="s">
        <v>18</v>
      </c>
      <c r="C24" t="s">
        <v>7</v>
      </c>
      <c r="D24" t="s">
        <v>9</v>
      </c>
      <c r="E24" s="3">
        <v>6096.7160000000003</v>
      </c>
    </row>
    <row r="25" spans="1:5" x14ac:dyDescent="0.25">
      <c r="A25">
        <v>2026</v>
      </c>
      <c r="B25" t="s">
        <v>18</v>
      </c>
      <c r="C25" t="s">
        <v>8</v>
      </c>
      <c r="D25" t="s">
        <v>9</v>
      </c>
      <c r="E25" s="3">
        <v>3048.3580000000002</v>
      </c>
    </row>
    <row r="26" spans="1:5" x14ac:dyDescent="0.25">
      <c r="A26">
        <v>2026</v>
      </c>
      <c r="B26" t="s">
        <v>19</v>
      </c>
      <c r="C26" t="s">
        <v>1</v>
      </c>
      <c r="D26" t="s">
        <v>9</v>
      </c>
      <c r="E26" s="3">
        <v>2544.8643999999999</v>
      </c>
    </row>
    <row r="27" spans="1:5" x14ac:dyDescent="0.25">
      <c r="A27">
        <v>2026</v>
      </c>
      <c r="B27" t="s">
        <v>19</v>
      </c>
      <c r="C27" t="s">
        <v>3</v>
      </c>
      <c r="D27" t="s">
        <v>9</v>
      </c>
      <c r="E27" s="3">
        <v>2216.4947999999999</v>
      </c>
    </row>
    <row r="28" spans="1:5" x14ac:dyDescent="0.25">
      <c r="A28">
        <v>2026</v>
      </c>
      <c r="B28" t="s">
        <v>19</v>
      </c>
      <c r="C28" t="s">
        <v>4</v>
      </c>
      <c r="D28" t="s">
        <v>9</v>
      </c>
      <c r="E28" s="3">
        <v>6156.93</v>
      </c>
    </row>
    <row r="29" spans="1:5" x14ac:dyDescent="0.25">
      <c r="A29">
        <v>2026</v>
      </c>
      <c r="B29" t="s">
        <v>19</v>
      </c>
      <c r="C29" t="s">
        <v>5</v>
      </c>
      <c r="D29" t="s">
        <v>9</v>
      </c>
      <c r="E29" s="3">
        <v>5500.1908000000003</v>
      </c>
    </row>
    <row r="30" spans="1:5" x14ac:dyDescent="0.25">
      <c r="A30">
        <v>2026</v>
      </c>
      <c r="B30" t="s">
        <v>19</v>
      </c>
      <c r="C30" t="s">
        <v>7</v>
      </c>
      <c r="D30" t="s">
        <v>9</v>
      </c>
      <c r="E30" s="3">
        <v>16418.48</v>
      </c>
    </row>
    <row r="31" spans="1:5" x14ac:dyDescent="0.25">
      <c r="A31">
        <v>2026</v>
      </c>
      <c r="B31" t="s">
        <v>19</v>
      </c>
      <c r="C31" t="s">
        <v>8</v>
      </c>
      <c r="D31" t="s">
        <v>9</v>
      </c>
      <c r="E31" s="3">
        <v>8209.24</v>
      </c>
    </row>
    <row r="32" spans="1:5" x14ac:dyDescent="0.25">
      <c r="A32">
        <v>2026</v>
      </c>
      <c r="B32" t="s">
        <v>20</v>
      </c>
      <c r="C32" t="s">
        <v>1</v>
      </c>
      <c r="D32" t="s">
        <v>9</v>
      </c>
      <c r="E32" s="3">
        <v>2544.8643999999999</v>
      </c>
    </row>
    <row r="33" spans="1:5" x14ac:dyDescent="0.25">
      <c r="A33">
        <v>2026</v>
      </c>
      <c r="B33" t="s">
        <v>20</v>
      </c>
      <c r="C33" t="s">
        <v>3</v>
      </c>
      <c r="D33" t="s">
        <v>9</v>
      </c>
      <c r="E33" s="3">
        <v>2216.4947999999999</v>
      </c>
    </row>
    <row r="34" spans="1:5" x14ac:dyDescent="0.25">
      <c r="A34">
        <v>2026</v>
      </c>
      <c r="B34" t="s">
        <v>20</v>
      </c>
      <c r="C34" t="s">
        <v>4</v>
      </c>
      <c r="D34" t="s">
        <v>9</v>
      </c>
      <c r="E34" s="3">
        <v>6156.93</v>
      </c>
    </row>
    <row r="35" spans="1:5" x14ac:dyDescent="0.25">
      <c r="A35">
        <v>2026</v>
      </c>
      <c r="B35" t="s">
        <v>20</v>
      </c>
      <c r="C35" t="s">
        <v>5</v>
      </c>
      <c r="D35" t="s">
        <v>9</v>
      </c>
      <c r="E35" s="3">
        <v>5500.1908000000003</v>
      </c>
    </row>
    <row r="36" spans="1:5" x14ac:dyDescent="0.25">
      <c r="A36">
        <v>2026</v>
      </c>
      <c r="B36" t="s">
        <v>20</v>
      </c>
      <c r="C36" t="s">
        <v>7</v>
      </c>
      <c r="D36" t="s">
        <v>9</v>
      </c>
      <c r="E36" s="3">
        <v>16418.48</v>
      </c>
    </row>
    <row r="37" spans="1:5" x14ac:dyDescent="0.25">
      <c r="A37">
        <v>2026</v>
      </c>
      <c r="B37" t="s">
        <v>20</v>
      </c>
      <c r="C37" t="s">
        <v>8</v>
      </c>
      <c r="D37" t="s">
        <v>9</v>
      </c>
      <c r="E37" s="3">
        <v>8209.24</v>
      </c>
    </row>
    <row r="38" spans="1:5" x14ac:dyDescent="0.25">
      <c r="A38">
        <v>2026</v>
      </c>
      <c r="B38" t="s">
        <v>21</v>
      </c>
      <c r="C38" t="s">
        <v>1</v>
      </c>
      <c r="D38" t="s">
        <v>9</v>
      </c>
      <c r="E38">
        <v>2895.9889999999996</v>
      </c>
    </row>
    <row r="39" spans="1:5" x14ac:dyDescent="0.25">
      <c r="A39">
        <v>2026</v>
      </c>
      <c r="B39" t="s">
        <v>21</v>
      </c>
      <c r="C39" t="s">
        <v>3</v>
      </c>
      <c r="D39" t="s">
        <v>9</v>
      </c>
      <c r="E39">
        <v>2522.3130000000001</v>
      </c>
    </row>
    <row r="40" spans="1:5" x14ac:dyDescent="0.25">
      <c r="A40">
        <v>2026</v>
      </c>
      <c r="B40" t="s">
        <v>21</v>
      </c>
      <c r="C40" t="s">
        <v>4</v>
      </c>
      <c r="D40" t="s">
        <v>9</v>
      </c>
      <c r="E40">
        <v>7006.4249999999993</v>
      </c>
    </row>
    <row r="41" spans="1:5" x14ac:dyDescent="0.25">
      <c r="A41">
        <v>2026</v>
      </c>
      <c r="B41" t="s">
        <v>21</v>
      </c>
      <c r="C41" t="s">
        <v>5</v>
      </c>
      <c r="D41" t="s">
        <v>9</v>
      </c>
      <c r="E41">
        <v>6259.0730000000003</v>
      </c>
    </row>
    <row r="42" spans="1:5" x14ac:dyDescent="0.25">
      <c r="A42">
        <v>2026</v>
      </c>
      <c r="B42" t="s">
        <v>21</v>
      </c>
      <c r="C42" t="s">
        <v>7</v>
      </c>
      <c r="D42" t="s">
        <v>9</v>
      </c>
      <c r="E42">
        <v>18683.8</v>
      </c>
    </row>
    <row r="43" spans="1:5" x14ac:dyDescent="0.25">
      <c r="A43">
        <v>2026</v>
      </c>
      <c r="B43" t="s">
        <v>21</v>
      </c>
      <c r="C43" t="s">
        <v>8</v>
      </c>
      <c r="D43" t="s">
        <v>9</v>
      </c>
      <c r="E43">
        <v>9341.9</v>
      </c>
    </row>
    <row r="44" spans="1:5" x14ac:dyDescent="0.25">
      <c r="A44">
        <v>2026</v>
      </c>
      <c r="B44" t="s">
        <v>22</v>
      </c>
      <c r="C44" t="s">
        <v>1</v>
      </c>
      <c r="D44" t="s">
        <v>9</v>
      </c>
      <c r="E44">
        <v>1693.2819999999999</v>
      </c>
    </row>
    <row r="45" spans="1:5" x14ac:dyDescent="0.25">
      <c r="A45">
        <v>2026</v>
      </c>
      <c r="B45" t="s">
        <v>22</v>
      </c>
      <c r="C45" t="s">
        <v>3</v>
      </c>
      <c r="D45" t="s">
        <v>9</v>
      </c>
      <c r="E45">
        <v>1474.7939999999999</v>
      </c>
    </row>
    <row r="46" spans="1:5" x14ac:dyDescent="0.25">
      <c r="A46">
        <v>2026</v>
      </c>
      <c r="B46" t="s">
        <v>22</v>
      </c>
      <c r="C46" t="s">
        <v>4</v>
      </c>
      <c r="D46" t="s">
        <v>9</v>
      </c>
      <c r="E46">
        <v>4096.6499999999996</v>
      </c>
    </row>
    <row r="47" spans="1:5" x14ac:dyDescent="0.25">
      <c r="A47">
        <v>2026</v>
      </c>
      <c r="B47" t="s">
        <v>22</v>
      </c>
      <c r="C47" t="s">
        <v>5</v>
      </c>
      <c r="D47" t="s">
        <v>9</v>
      </c>
      <c r="E47">
        <v>3659.674</v>
      </c>
    </row>
    <row r="48" spans="1:5" x14ac:dyDescent="0.25">
      <c r="A48">
        <v>2026</v>
      </c>
      <c r="B48" t="s">
        <v>22</v>
      </c>
      <c r="C48" t="s">
        <v>7</v>
      </c>
      <c r="D48" t="s">
        <v>9</v>
      </c>
      <c r="E48">
        <v>10924.4</v>
      </c>
    </row>
    <row r="49" spans="1:5" x14ac:dyDescent="0.25">
      <c r="A49">
        <v>2026</v>
      </c>
      <c r="B49" t="s">
        <v>22</v>
      </c>
      <c r="C49" t="s">
        <v>8</v>
      </c>
      <c r="D49" t="s">
        <v>9</v>
      </c>
      <c r="E49">
        <v>5462.2</v>
      </c>
    </row>
    <row r="50" spans="1:5" x14ac:dyDescent="0.25">
      <c r="A50">
        <v>2026</v>
      </c>
      <c r="B50" t="s">
        <v>25</v>
      </c>
      <c r="C50" t="s">
        <v>1</v>
      </c>
      <c r="D50" t="s">
        <v>9</v>
      </c>
      <c r="E50">
        <v>1693.2819999999999</v>
      </c>
    </row>
    <row r="51" spans="1:5" x14ac:dyDescent="0.25">
      <c r="A51">
        <v>2026</v>
      </c>
      <c r="B51" t="s">
        <v>25</v>
      </c>
      <c r="C51" t="s">
        <v>3</v>
      </c>
      <c r="D51" t="s">
        <v>9</v>
      </c>
      <c r="E51">
        <v>1474.7939999999999</v>
      </c>
    </row>
    <row r="52" spans="1:5" x14ac:dyDescent="0.25">
      <c r="A52">
        <v>2026</v>
      </c>
      <c r="B52" t="s">
        <v>25</v>
      </c>
      <c r="C52" t="s">
        <v>4</v>
      </c>
      <c r="D52" t="s">
        <v>9</v>
      </c>
      <c r="E52">
        <v>4096.6499999999996</v>
      </c>
    </row>
    <row r="53" spans="1:5" x14ac:dyDescent="0.25">
      <c r="A53">
        <v>2026</v>
      </c>
      <c r="B53" t="s">
        <v>25</v>
      </c>
      <c r="C53" t="s">
        <v>5</v>
      </c>
      <c r="D53" t="s">
        <v>9</v>
      </c>
      <c r="E53">
        <v>3659.674</v>
      </c>
    </row>
    <row r="54" spans="1:5" x14ac:dyDescent="0.25">
      <c r="A54">
        <v>2026</v>
      </c>
      <c r="B54" t="s">
        <v>25</v>
      </c>
      <c r="C54" t="s">
        <v>7</v>
      </c>
      <c r="D54" t="s">
        <v>9</v>
      </c>
      <c r="E54">
        <v>10924.4</v>
      </c>
    </row>
    <row r="55" spans="1:5" x14ac:dyDescent="0.25">
      <c r="A55">
        <v>2026</v>
      </c>
      <c r="B55" t="s">
        <v>25</v>
      </c>
      <c r="C55" t="s">
        <v>8</v>
      </c>
      <c r="D55" t="s">
        <v>9</v>
      </c>
      <c r="E55">
        <v>5462.2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 LINEA</vt:lpstr>
      <vt:lpstr>ADICIONALES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2026-09-22T23:51:09Z</dcterms:created>
  <dcterms:modified xsi:type="dcterms:W3CDTF">2026-10-14T23:22:14Z</dcterms:modified>
</cp:coreProperties>
</file>